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B83881A-C9AB-4636-8F6D-EF378AFBF79A}" xr6:coauthVersionLast="47" xr6:coauthVersionMax="47" xr10:uidLastSave="{00000000-0000-0000-0000-000000000000}"/>
  <bookViews>
    <workbookView xWindow="-110" yWindow="-110" windowWidth="19420" windowHeight="11020" firstSheet="1" activeTab="5" xr2:uid="{82901D99-E3BB-4CCE-AB3F-5ADFEEC2DC6B}"/>
  </bookViews>
  <sheets>
    <sheet name="EDA Summary" sheetId="8" r:id="rId1"/>
    <sheet name="Basic Statistics" sheetId="1" r:id="rId2"/>
    <sheet name="Status &amp; Payment" sheetId="9" r:id="rId3"/>
    <sheet name="Product Analysis" sheetId="3" r:id="rId4"/>
    <sheet name="Monthly Trends" sheetId="6" r:id="rId5"/>
    <sheet name="Outliers" sheetId="7" r:id="rId6"/>
  </sheets>
  <externalReferences>
    <externalReference r:id="rId7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3" l="1"/>
  <c r="D6" i="3"/>
  <c r="D8" i="3"/>
  <c r="D10" i="3"/>
  <c r="D5" i="3"/>
  <c r="D7" i="3"/>
  <c r="D4" i="3"/>
  <c r="C9" i="3"/>
  <c r="C6" i="3"/>
  <c r="C8" i="3"/>
  <c r="C10" i="3"/>
  <c r="C5" i="3"/>
  <c r="C7" i="3"/>
  <c r="C4" i="3"/>
  <c r="B6" i="3"/>
  <c r="B8" i="3"/>
  <c r="B10" i="3"/>
  <c r="B5" i="3"/>
  <c r="E5" i="3" s="1"/>
  <c r="B7" i="3"/>
  <c r="B9" i="3"/>
  <c r="B4" i="3"/>
  <c r="E11" i="1"/>
  <c r="E10" i="1"/>
  <c r="E9" i="1"/>
  <c r="D11" i="1"/>
  <c r="D10" i="1"/>
  <c r="D9" i="1"/>
  <c r="C10" i="1"/>
  <c r="C9" i="1"/>
  <c r="C11" i="1"/>
  <c r="B11" i="1"/>
  <c r="B10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4" i="3" l="1"/>
  <c r="E10" i="3"/>
  <c r="E8" i="3"/>
  <c r="E7" i="3"/>
  <c r="E6" i="3"/>
  <c r="E9" i="3"/>
</calcChain>
</file>

<file path=xl/sharedStrings.xml><?xml version="1.0" encoding="utf-8"?>
<sst xmlns="http://schemas.openxmlformats.org/spreadsheetml/2006/main" count="151" uniqueCount="112">
  <si>
    <t>Basic Descriptive Statistics</t>
  </si>
  <si>
    <t>Statistic</t>
  </si>
  <si>
    <t>Quantity</t>
  </si>
  <si>
    <t>Unit Price ($)</t>
  </si>
  <si>
    <t>Total Price ($)</t>
  </si>
  <si>
    <t>Items in Cart</t>
  </si>
  <si>
    <t>Count</t>
  </si>
  <si>
    <t xml:space="preserve">Mean </t>
  </si>
  <si>
    <t>Median</t>
  </si>
  <si>
    <t>Min</t>
  </si>
  <si>
    <t>25th Percentile</t>
  </si>
  <si>
    <t>75th Percentile</t>
  </si>
  <si>
    <t>Max</t>
  </si>
  <si>
    <t>Standard Deviation</t>
  </si>
  <si>
    <t>Product Analysis</t>
  </si>
  <si>
    <t>Product</t>
  </si>
  <si>
    <t>Total Orders</t>
  </si>
  <si>
    <t>Total Quantity sold</t>
  </si>
  <si>
    <t>Total Revenue</t>
  </si>
  <si>
    <t>Average Revenue</t>
  </si>
  <si>
    <t>Chair</t>
  </si>
  <si>
    <t>Desk</t>
  </si>
  <si>
    <t>Laptop</t>
  </si>
  <si>
    <t>Monitor</t>
  </si>
  <si>
    <t>Phone</t>
  </si>
  <si>
    <t>Printer</t>
  </si>
  <si>
    <t>Tablet</t>
  </si>
  <si>
    <t>Year</t>
  </si>
  <si>
    <t>Month</t>
  </si>
  <si>
    <t>Orders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</si>
  <si>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</si>
  <si>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</si>
  <si>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</si>
  <si>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</si>
  <si>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</si>
  <si>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</si>
  <si>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</si>
  <si>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</si>
  <si>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</si>
  <si>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</si>
  <si>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</si>
  <si>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</si>
  <si>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Revenue ($)</t>
  </si>
  <si>
    <t>Monthly Revenue Trend (2023–2025)</t>
  </si>
  <si>
    <t>All 8 outliers are legitimate bulk orders (Qty=5) not data errors. No removal needed.</t>
  </si>
  <si>
    <t>Conclusion:</t>
  </si>
  <si>
    <t>Max quantity (5) × high unit price</t>
  </si>
  <si>
    <t>ORD201122</t>
  </si>
  <si>
    <t>ORD201065</t>
  </si>
  <si>
    <t>Highest value order in dataset</t>
  </si>
  <si>
    <t>ORD200789</t>
  </si>
  <si>
    <t>ORD200632</t>
  </si>
  <si>
    <t>ORD200469</t>
  </si>
  <si>
    <t>ORD200328</t>
  </si>
  <si>
    <t>ORD200326</t>
  </si>
  <si>
    <t>ORD200107</t>
  </si>
  <si>
    <t>Why It's an Outlier</t>
  </si>
  <si>
    <t>Order ID</t>
  </si>
  <si>
    <t>Outliers Found:</t>
  </si>
  <si>
    <t>Above $3,330.41</t>
  </si>
  <si>
    <t>Outlier Threshold:</t>
  </si>
  <si>
    <t>IQR:</t>
  </si>
  <si>
    <t>Q3 (75th Percentile):</t>
  </si>
  <si>
    <t>Q1 (25th Percentile):</t>
  </si>
  <si>
    <t>IQR (Interquartile Range)</t>
  </si>
  <si>
    <t>Method Used:</t>
  </si>
  <si>
    <t>Outlier Analysis — TotalPrice</t>
  </si>
  <si>
    <t>Average items in cart is 5.48, suggesting customers regularly bundle multiple items per session.</t>
  </si>
  <si>
    <t>#8</t>
  </si>
  <si>
    <t>June 2024 was the highest revenue month ($68K). September 2023 was the lowest ($29K).</t>
  </si>
  <si>
    <t>#7</t>
  </si>
  <si>
    <t>Customers using FREESHIP coupon generate the most revenue ($335K) vs No Coupon ($322K).</t>
  </si>
  <si>
    <t>#6</t>
  </si>
  <si>
    <t>8 outlier orders were identified all had Quantity=5 with high-value products, totalling over $3,300 each.</t>
  </si>
  <si>
    <t>#5</t>
  </si>
  <si>
    <t>Credit Card users spend the most on average ($1,127 per order) vs Debit Card users ($1,001).</t>
  </si>
  <si>
    <t>#4</t>
  </si>
  <si>
    <t>Instagram drives the most orders (259) and highest revenue ($275K) among all referral sources.</t>
  </si>
  <si>
    <t>#3</t>
  </si>
  <si>
    <t>Cancelled orders are the most common status (250), meaning 20.8% of all orders never complete.</t>
  </si>
  <si>
    <t>#2</t>
  </si>
  <si>
    <t>Chair &amp; Printer generate the highest total revenue ($195K each), while Phone generates the least ($151K).</t>
  </si>
  <si>
    <t>#1</t>
  </si>
  <si>
    <t>KEY OBSERVATIONS</t>
  </si>
  <si>
    <t>8</t>
  </si>
  <si>
    <t>7</t>
  </si>
  <si>
    <t>$823.62</t>
  </si>
  <si>
    <t>$1,053.97</t>
  </si>
  <si>
    <t>1,200</t>
  </si>
  <si>
    <t>$1,264,761.96</t>
  </si>
  <si>
    <t>Outliers Found</t>
  </si>
  <si>
    <t>Total Products</t>
  </si>
  <si>
    <t>Median Order Value</t>
  </si>
  <si>
    <t>Avg Order Value</t>
  </si>
  <si>
    <t>DecodeLabs | Project 2: Exploratory Data Analysis</t>
  </si>
  <si>
    <t>Debit Card</t>
  </si>
  <si>
    <t>Gift Card</t>
  </si>
  <si>
    <t>Cash</t>
  </si>
  <si>
    <t>Online</t>
  </si>
  <si>
    <t>Credit Card</t>
  </si>
  <si>
    <t>Total Revenue ($)</t>
  </si>
  <si>
    <t>Avg Spend ($)</t>
  </si>
  <si>
    <t>Payment Method</t>
  </si>
  <si>
    <t>Payment Method Analysis</t>
  </si>
  <si>
    <t>Delivered</t>
  </si>
  <si>
    <t>Shipped</t>
  </si>
  <si>
    <t>Pending</t>
  </si>
  <si>
    <t>Returned</t>
  </si>
  <si>
    <t>Cancelled</t>
  </si>
  <si>
    <t>Percentage (%)</t>
  </si>
  <si>
    <t>Order Status</t>
  </si>
  <si>
    <t>Order Status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</si>
</sst>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4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0"/>
      <color rgb="FFFFFFFF"/>
      <name val="Calibri"/>
      <family val="2"/>
    </font>
    <font>
      <b/>
      <sz val="14"/>
      <color rgb="FFFFFFFF"/>
      <name val="Calibri"/>
      <family val="2"/>
    </font>
    <font>
      <b/>
      <sz val="14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7030A0"/>
      <name val="Calibri"/>
      <family val="2"/>
    </font>
    <font>
      <sz val="10"/>
      <name val="Calibri"/>
      <family val="2"/>
    </font>
    <font>
      <b/>
      <sz val="11"/>
      <color rgb="FF1A3C5E"/>
      <name val="Calibri"/>
      <family val="2"/>
    </font>
    <font>
      <b/>
      <sz val="12"/>
      <color rgb="FF1A3C5E"/>
      <name val="Calibri"/>
      <family val="2"/>
    </font>
    <font>
      <b/>
      <sz val="9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theme="9" tint="-0.249977111117893"/>
      <name val="Calibri"/>
      <family val="2"/>
    </font>
    <font>
      <b/>
      <sz val="11"/>
      <color theme="2" tint="-0.499984740745262"/>
      <name val="Calibri"/>
      <family val="2"/>
    </font>
    <font>
      <b/>
      <sz val="11"/>
      <color theme="5" tint="0.39997558519241921"/>
      <name val="Calibri"/>
      <family val="2"/>
    </font>
    <font>
      <b/>
      <sz val="11"/>
      <color rgb="FF00B0F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EAF2FB"/>
        <bgColor rgb="FFEAF2FB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2F4F4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rgb="FF1A3C5E"/>
      </patternFill>
    </fill>
    <fill>
      <patternFill patternType="solid">
        <fgColor rgb="FF7030A0"/>
        <bgColor rgb="FFC73E1D"/>
      </patternFill>
    </fill>
    <fill>
      <patternFill patternType="solid">
        <fgColor rgb="FF7030A0"/>
        <bgColor indexed="64"/>
      </patternFill>
    </fill>
    <fill>
      <patternFill patternType="solid">
        <fgColor rgb="FFC2A1C5"/>
        <bgColor rgb="FFFFF0EE"/>
      </patternFill>
    </fill>
    <fill>
      <patternFill patternType="solid">
        <fgColor rgb="FF00B0F0"/>
        <bgColor rgb="FF2E86AB"/>
      </patternFill>
    </fill>
    <fill>
      <patternFill patternType="solid">
        <fgColor rgb="FF7030A0"/>
        <bgColor rgb="FFF18F01"/>
      </patternFill>
    </fill>
    <fill>
      <patternFill patternType="solid">
        <fgColor theme="0" tint="-0.34998626667073579"/>
        <bgColor rgb="FFC73E1D"/>
      </patternFill>
    </fill>
    <fill>
      <patternFill patternType="solid">
        <fgColor theme="9"/>
        <bgColor rgb="FF3B1F2B"/>
      </patternFill>
    </fill>
    <fill>
      <patternFill patternType="solid">
        <fgColor theme="1" tint="0.14999847407452621"/>
        <bgColor rgb="FF44BBA4"/>
      </patternFill>
    </fill>
    <fill>
      <patternFill patternType="solid">
        <fgColor theme="5" tint="0.39997558519241921"/>
        <bgColor rgb="FFA23B72"/>
      </patternFill>
    </fill>
    <fill>
      <patternFill patternType="solid">
        <fgColor theme="9" tint="-0.249977111117893"/>
        <bgColor rgb="FF1A3C5E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rgb="FFF0F4F8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2F4F4F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2" fontId="0" fillId="0" borderId="0" xfId="0" applyNumberFormat="1"/>
    <xf numFmtId="0" fontId="1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4" fillId="5" borderId="0" xfId="0" applyFont="1" applyFill="1" applyAlignment="1">
      <alignment horizontal="center"/>
    </xf>
    <xf numFmtId="0" fontId="0" fillId="6" borderId="0" xfId="0" applyFill="1"/>
    <xf numFmtId="0" fontId="6" fillId="7" borderId="0" xfId="0" applyFont="1" applyFill="1" applyAlignment="1">
      <alignment horizontal="center"/>
    </xf>
    <xf numFmtId="0" fontId="0" fillId="2" borderId="0" xfId="0" applyFont="1" applyFill="1"/>
    <xf numFmtId="0" fontId="0" fillId="2" borderId="0" xfId="0" applyFill="1"/>
    <xf numFmtId="0" fontId="0" fillId="0" borderId="0" xfId="0"/>
    <xf numFmtId="0" fontId="7" fillId="0" borderId="0" xfId="0" applyFont="1"/>
    <xf numFmtId="0" fontId="5" fillId="8" borderId="0" xfId="0" applyFont="1" applyFill="1" applyAlignment="1">
      <alignment horizontal="center"/>
    </xf>
    <xf numFmtId="0" fontId="0" fillId="9" borderId="0" xfId="0" applyFill="1"/>
    <xf numFmtId="0" fontId="4" fillId="8" borderId="0" xfId="0" applyFont="1" applyFill="1" applyAlignment="1">
      <alignment horizontal="center"/>
    </xf>
    <xf numFmtId="0" fontId="0" fillId="10" borderId="0" xfId="0" applyFill="1"/>
    <xf numFmtId="0" fontId="9" fillId="0" borderId="0" xfId="0" applyFont="1"/>
    <xf numFmtId="0" fontId="0" fillId="0" borderId="0" xfId="0" applyNumberForma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11" borderId="0" xfId="0" applyFont="1" applyFill="1" applyAlignment="1">
      <alignment horizontal="center"/>
    </xf>
    <xf numFmtId="0" fontId="13" fillId="12" borderId="0" xfId="0" applyFont="1" applyFill="1" applyAlignment="1">
      <alignment horizontal="center"/>
    </xf>
    <xf numFmtId="0" fontId="13" fillId="13" borderId="0" xfId="0" applyFont="1" applyFill="1" applyAlignment="1">
      <alignment horizontal="center"/>
    </xf>
    <xf numFmtId="0" fontId="13" fillId="14" borderId="0" xfId="0" applyFont="1" applyFill="1" applyAlignment="1">
      <alignment horizontal="center"/>
    </xf>
    <xf numFmtId="0" fontId="13" fillId="15" borderId="0" xfId="0" applyFont="1" applyFill="1" applyAlignment="1">
      <alignment horizontal="center"/>
    </xf>
    <xf numFmtId="0" fontId="13" fillId="16" borderId="0" xfId="0" applyFont="1" applyFill="1" applyAlignment="1">
      <alignment horizontal="center"/>
    </xf>
    <xf numFmtId="0" fontId="14" fillId="17" borderId="0" xfId="0" applyFont="1" applyFill="1" applyAlignment="1">
      <alignment horizontal="center" vertical="center"/>
    </xf>
    <xf numFmtId="0" fontId="0" fillId="18" borderId="0" xfId="0" applyFill="1"/>
    <xf numFmtId="0" fontId="10" fillId="19" borderId="0" xfId="0" applyFont="1" applyFill="1"/>
    <xf numFmtId="0" fontId="0" fillId="19" borderId="0" xfId="0" applyFill="1"/>
    <xf numFmtId="0" fontId="11" fillId="19" borderId="0" xfId="0" applyFont="1" applyFill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20" borderId="0" xfId="0" applyFill="1"/>
    <xf numFmtId="0" fontId="4" fillId="21" borderId="0" xfId="0" applyFont="1" applyFill="1" applyAlignment="1">
      <alignment horizontal="center"/>
    </xf>
    <xf numFmtId="0" fontId="0" fillId="22" borderId="0" xfId="0" applyFill="1"/>
    <xf numFmtId="0" fontId="4" fillId="23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2F4F4F"/>
          <bgColor theme="4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2A1C5"/>
      <color rgb="FFBE8C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Order Status Breakdown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'Status &amp; Payment'!$B$2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'Status &amp; Payment'!$A$3:$A$7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'Status &amp; Payment'!$B$3:$B$7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9-41C0-9647-9DC062C72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24759405074368"/>
          <c:y val="0.18134036853640717"/>
          <c:w val="0.85219685039370074"/>
          <c:h val="0.731244094488188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'Product Analysis'!$D$3</c:f>
              <c:strCache>
                <c:ptCount val="1"/>
                <c:pt idx="0">
                  <c:v>Total Revenue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'Product Analysis'!$A$4:$A$10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Analysis'!$D$4:$D$10</c:f>
              <c:numCache>
                <c:formatCode>0.00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1-438F-8D78-71C462B1E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31904192"/>
        <c:axId val="431906272"/>
      </c:barChart>
      <c:catAx>
        <c:axId val="43190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06272"/>
        <c:crosses val="autoZero"/>
        <c:auto val="1"/>
        <c:lblAlgn val="ctr"/>
        <c:lblOffset val="100"/>
        <c:noMultiLvlLbl val="0"/>
      </c:catAx>
      <c:valAx>
        <c:axId val="431906272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04192"/>
        <c:crosses val="autoZero"/>
        <c:crossBetween val="between"/>
      </c:valAx>
      <c:spPr>
        <a:solidFill>
          <a:schemeClr val="bg2"/>
        </a:solidFill>
        <a:ln>
          <a:solidFill>
            <a:schemeClr val="accent6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0.9456855503480508"/>
          <c:h val="0.94750500094601753"/>
        </c:manualLayout>
      </c:layout>
      <c:lineChart>
        <c:grouping val="standard"/>
        <c:varyColors val="1"/>
        <c:ser>
          <c:idx val="0"/>
          <c:order val="0"/>
          <c:tx>
            <c:strRef>
              <c:f>'Monthly Trends'!$D$3</c:f>
              <c:strCache>
                <c:ptCount val="1"/>
                <c:pt idx="0">
                  <c:v>Revenue ($)</c:v>
                </c:pt>
              </c:strCache>
            </c:strRef>
          </c:tx>
          <c:marker>
            <c:symbol val="circle"/>
            <c:size val="17"/>
          </c:marker>
          <c:dPt>
            <c:idx val="0"/>
            <c:marker>
              <c:symbol val="circle"/>
              <c:size val="17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"/>
            <c:marker>
              <c:symbol val="circle"/>
              <c:size val="17"/>
              <c:spPr>
                <a:solidFill>
                  <a:schemeClr val="accent2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"/>
            <c:marker>
              <c:symbol val="circle"/>
              <c:size val="17"/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"/>
            <c:marker>
              <c:symbol val="circle"/>
              <c:size val="17"/>
              <c:spPr>
                <a:solidFill>
                  <a:schemeClr val="accent4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"/>
            <c:marker>
              <c:symbol val="circle"/>
              <c:size val="17"/>
              <c:spPr>
                <a:solidFill>
                  <a:schemeClr val="accent5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"/>
            <c:marker>
              <c:symbol val="circle"/>
              <c:size val="17"/>
              <c:spPr>
                <a:solidFill>
                  <a:schemeClr val="accent6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"/>
            <c:marker>
              <c:symbol val="circle"/>
              <c:size val="17"/>
              <c:spPr>
                <a:solidFill>
                  <a:schemeClr val="accent1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7"/>
            <c:marker>
              <c:symbol val="circle"/>
              <c:size val="17"/>
              <c:spPr>
                <a:solidFill>
                  <a:schemeClr val="accent2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8"/>
            <c:marker>
              <c:symbol val="circle"/>
              <c:size val="17"/>
              <c:spPr>
                <a:solidFill>
                  <a:schemeClr val="accent3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9"/>
            <c:marker>
              <c:symbol val="circle"/>
              <c:size val="17"/>
              <c:spPr>
                <a:solidFill>
                  <a:schemeClr val="accent4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0"/>
            <c:marker>
              <c:symbol val="circle"/>
              <c:size val="17"/>
              <c:spPr>
                <a:solidFill>
                  <a:schemeClr val="accent5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"/>
            <c:marker>
              <c:symbol val="circle"/>
              <c:size val="17"/>
              <c:spPr>
                <a:solidFill>
                  <a:schemeClr val="accent6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2"/>
            <c:marker>
              <c:symbol val="circle"/>
              <c:size val="17"/>
              <c:spPr>
                <a:solidFill>
                  <a:schemeClr val="accent1">
                    <a:lumMod val="80000"/>
                    <a:lumOff val="2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"/>
            <c:marker>
              <c:symbol val="circle"/>
              <c:size val="17"/>
              <c:spPr>
                <a:solidFill>
                  <a:schemeClr val="accent2">
                    <a:lumMod val="80000"/>
                    <a:lumOff val="2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"/>
            <c:marker>
              <c:symbol val="circle"/>
              <c:size val="17"/>
              <c:spPr>
                <a:solidFill>
                  <a:schemeClr val="accent3">
                    <a:lumMod val="80000"/>
                    <a:lumOff val="2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"/>
            <c:marker>
              <c:symbol val="circle"/>
              <c:size val="17"/>
              <c:spPr>
                <a:solidFill>
                  <a:schemeClr val="accent4">
                    <a:lumMod val="80000"/>
                    <a:lumOff val="2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"/>
            <c:marker>
              <c:symbol val="circle"/>
              <c:size val="17"/>
              <c:spPr>
                <a:solidFill>
                  <a:schemeClr val="accent5">
                    <a:lumMod val="80000"/>
                    <a:lumOff val="2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"/>
            <c:marker>
              <c:symbol val="circle"/>
              <c:size val="17"/>
              <c:spPr>
                <a:solidFill>
                  <a:schemeClr val="accent6">
                    <a:lumMod val="80000"/>
                    <a:lumOff val="2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8"/>
            <c:marker>
              <c:symbol val="circle"/>
              <c:size val="17"/>
              <c:spPr>
                <a:solidFill>
                  <a:schemeClr val="accent1">
                    <a:lumMod val="8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9"/>
            <c:marker>
              <c:symbol val="circle"/>
              <c:size val="17"/>
              <c:spPr>
                <a:solidFill>
                  <a:schemeClr val="accent2">
                    <a:lumMod val="8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20"/>
            <c:marker>
              <c:symbol val="circle"/>
              <c:size val="17"/>
              <c:spPr>
                <a:solidFill>
                  <a:schemeClr val="accent3">
                    <a:lumMod val="8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21"/>
            <c:marker>
              <c:symbol val="circle"/>
              <c:size val="17"/>
              <c:spPr>
                <a:solidFill>
                  <a:schemeClr val="accent4">
                    <a:lumMod val="8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22"/>
            <c:marker>
              <c:symbol val="circle"/>
              <c:size val="17"/>
              <c:spPr>
                <a:solidFill>
                  <a:schemeClr val="accent5">
                    <a:lumMod val="8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23"/>
            <c:marker>
              <c:symbol val="circle"/>
              <c:size val="17"/>
              <c:spPr>
                <a:solidFill>
                  <a:schemeClr val="accent6">
                    <a:lumMod val="8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24"/>
            <c:marker>
              <c:symbol val="circle"/>
              <c:size val="17"/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5"/>
            <c:marker>
              <c:symbol val="circle"/>
              <c:size val="17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6"/>
            <c:marker>
              <c:symbol val="circle"/>
              <c:size val="17"/>
              <c:spPr>
                <a:solidFill>
                  <a:schemeClr val="accent3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7"/>
            <c:marker>
              <c:symbol val="circle"/>
              <c:size val="17"/>
              <c:spPr>
                <a:solidFill>
                  <a:schemeClr val="accent4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8"/>
            <c:marker>
              <c:symbol val="circle"/>
              <c:size val="17"/>
              <c:spPr>
                <a:solidFill>
                  <a:schemeClr val="accent5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9"/>
            <c:marker>
              <c:symbol val="circle"/>
              <c:size val="17"/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Lbls>
            <c:delete val="1"/>
          </c:dLbls>
          <c:val>
            <c:numRef>
              <c:f>'Monthly Trends'!$D$4:$D$33</c:f>
              <c:numCache>
                <c:formatCode>General</c:formatCode>
                <c:ptCount val="30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38528.080000000002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68068.539999999994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</c:v>
                </c:pt>
                <c:pt idx="22">
                  <c:v>32413.759999999998</c:v>
                </c:pt>
                <c:pt idx="23">
                  <c:v>38785.769999999997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  <c:pt idx="29">
                  <c:v>53047.4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EF-4040-8C82-E67E364124F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</a:t>
                </a:r>
              </a:p>
            </c:rich>
          </c:tx>
          <c:layout>
            <c:manualLayout>
              <c:xMode val="edge"/>
              <c:yMode val="edge"/>
              <c:x val="0.44218120972511232"/>
              <c:y val="0.947505000946017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75339</xdr:colOff>
      <xdr:row>1</xdr:row>
      <xdr:rowOff>0</xdr:rowOff>
    </xdr:from>
    <xdr:ext cx="5071187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E21611-EC61-4158-8B20-ACAEA4BAAD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1</xdr:row>
      <xdr:rowOff>120650</xdr:rowOff>
    </xdr:from>
    <xdr:to>
      <xdr:col>14</xdr:col>
      <xdr:colOff>180975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EBE3E6-BFEF-4EE2-A6AA-C187C457C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8355</xdr:colOff>
      <xdr:row>5</xdr:row>
      <xdr:rowOff>63500</xdr:rowOff>
    </xdr:from>
    <xdr:ext cx="9195246" cy="44026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022B63-157D-4CFE-BD50-784DC9FAC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ct%201(decode%20lab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eaned Datasheet"/>
      <sheetName val="Sheet3"/>
    </sheetNames>
    <sheetDataSet>
      <sheetData sheetId="0">
        <row r="1">
          <cell r="D1" t="str">
            <v>Product</v>
          </cell>
          <cell r="E1" t="str">
            <v>Quantity</v>
          </cell>
          <cell r="F1" t="str">
            <v>UnitPrice</v>
          </cell>
          <cell r="K1" t="str">
            <v>ItemsInCart</v>
          </cell>
          <cell r="N1" t="str">
            <v>TotalPrice</v>
          </cell>
        </row>
        <row r="2">
          <cell r="D2" t="str">
            <v>Monitor</v>
          </cell>
          <cell r="E2">
            <v>5</v>
          </cell>
          <cell r="F2">
            <v>570.62</v>
          </cell>
          <cell r="K2">
            <v>7</v>
          </cell>
          <cell r="N2">
            <v>2853.1</v>
          </cell>
        </row>
        <row r="3">
          <cell r="D3" t="str">
            <v>Phone</v>
          </cell>
          <cell r="E3">
            <v>2</v>
          </cell>
          <cell r="F3">
            <v>151.35</v>
          </cell>
          <cell r="K3">
            <v>3</v>
          </cell>
          <cell r="N3">
            <v>302.7</v>
          </cell>
        </row>
        <row r="4">
          <cell r="D4" t="str">
            <v>Tablet</v>
          </cell>
          <cell r="E4">
            <v>5</v>
          </cell>
          <cell r="F4">
            <v>550.67999999999995</v>
          </cell>
          <cell r="K4">
            <v>8</v>
          </cell>
          <cell r="N4">
            <v>2753.4</v>
          </cell>
        </row>
        <row r="5">
          <cell r="D5" t="str">
            <v>Chair</v>
          </cell>
          <cell r="E5">
            <v>1</v>
          </cell>
          <cell r="F5">
            <v>273.19</v>
          </cell>
          <cell r="K5">
            <v>5</v>
          </cell>
          <cell r="N5">
            <v>273.19</v>
          </cell>
        </row>
        <row r="6">
          <cell r="D6" t="str">
            <v>Printer</v>
          </cell>
          <cell r="E6">
            <v>4</v>
          </cell>
          <cell r="F6">
            <v>626.01</v>
          </cell>
          <cell r="K6">
            <v>8</v>
          </cell>
          <cell r="N6">
            <v>2504.04</v>
          </cell>
        </row>
        <row r="7">
          <cell r="D7" t="str">
            <v>Phone</v>
          </cell>
          <cell r="E7">
            <v>2</v>
          </cell>
          <cell r="F7">
            <v>245.86</v>
          </cell>
          <cell r="K7">
            <v>4</v>
          </cell>
          <cell r="N7">
            <v>491.72</v>
          </cell>
        </row>
        <row r="8">
          <cell r="D8" t="str">
            <v>Laptop</v>
          </cell>
          <cell r="E8">
            <v>1</v>
          </cell>
          <cell r="F8">
            <v>664.42</v>
          </cell>
          <cell r="K8">
            <v>6</v>
          </cell>
          <cell r="N8">
            <v>664.42</v>
          </cell>
        </row>
        <row r="9">
          <cell r="D9" t="str">
            <v>Monitor</v>
          </cell>
          <cell r="E9">
            <v>5</v>
          </cell>
          <cell r="F9">
            <v>149.55000000000001</v>
          </cell>
          <cell r="K9">
            <v>9</v>
          </cell>
          <cell r="N9">
            <v>747.75</v>
          </cell>
        </row>
        <row r="10">
          <cell r="D10" t="str">
            <v>Phone</v>
          </cell>
          <cell r="E10">
            <v>2</v>
          </cell>
          <cell r="F10">
            <v>134.28</v>
          </cell>
          <cell r="K10">
            <v>2</v>
          </cell>
          <cell r="N10">
            <v>268.56</v>
          </cell>
        </row>
        <row r="11">
          <cell r="D11" t="str">
            <v>Desk</v>
          </cell>
          <cell r="E11">
            <v>4</v>
          </cell>
          <cell r="F11">
            <v>509.38</v>
          </cell>
          <cell r="K11">
            <v>6</v>
          </cell>
          <cell r="N11">
            <v>2037.52</v>
          </cell>
        </row>
        <row r="12">
          <cell r="D12" t="str">
            <v>Tablet</v>
          </cell>
          <cell r="E12">
            <v>5</v>
          </cell>
          <cell r="F12">
            <v>625.97</v>
          </cell>
          <cell r="K12">
            <v>9</v>
          </cell>
          <cell r="N12">
            <v>3129.85</v>
          </cell>
        </row>
        <row r="13">
          <cell r="D13" t="str">
            <v>Monitor</v>
          </cell>
          <cell r="E13">
            <v>3</v>
          </cell>
          <cell r="F13">
            <v>49.14</v>
          </cell>
          <cell r="K13">
            <v>7</v>
          </cell>
          <cell r="N13">
            <v>147.41999999999999</v>
          </cell>
        </row>
        <row r="14">
          <cell r="D14" t="str">
            <v>Monitor</v>
          </cell>
          <cell r="E14">
            <v>2</v>
          </cell>
          <cell r="F14">
            <v>180.5</v>
          </cell>
          <cell r="K14">
            <v>6</v>
          </cell>
          <cell r="N14">
            <v>361</v>
          </cell>
        </row>
        <row r="15">
          <cell r="D15" t="str">
            <v>Laptop</v>
          </cell>
          <cell r="E15">
            <v>3</v>
          </cell>
          <cell r="F15">
            <v>201.49</v>
          </cell>
          <cell r="K15">
            <v>4</v>
          </cell>
          <cell r="N15">
            <v>604.47</v>
          </cell>
        </row>
        <row r="16">
          <cell r="D16" t="str">
            <v>Tablet</v>
          </cell>
          <cell r="E16">
            <v>2</v>
          </cell>
          <cell r="F16">
            <v>393.33</v>
          </cell>
          <cell r="K16">
            <v>3</v>
          </cell>
          <cell r="N16">
            <v>786.66</v>
          </cell>
        </row>
        <row r="17">
          <cell r="D17" t="str">
            <v>Printer</v>
          </cell>
          <cell r="E17">
            <v>1</v>
          </cell>
          <cell r="F17">
            <v>473.96</v>
          </cell>
          <cell r="K17">
            <v>3</v>
          </cell>
          <cell r="N17">
            <v>473.96</v>
          </cell>
        </row>
        <row r="18">
          <cell r="D18" t="str">
            <v>Printer</v>
          </cell>
          <cell r="E18">
            <v>2</v>
          </cell>
          <cell r="F18">
            <v>533.80999999999995</v>
          </cell>
          <cell r="K18">
            <v>3</v>
          </cell>
          <cell r="N18">
            <v>1067.6199999999999</v>
          </cell>
        </row>
        <row r="19">
          <cell r="D19" t="str">
            <v>Tablet</v>
          </cell>
          <cell r="E19">
            <v>1</v>
          </cell>
          <cell r="F19">
            <v>423.4</v>
          </cell>
          <cell r="K19">
            <v>3</v>
          </cell>
          <cell r="N19">
            <v>423.4</v>
          </cell>
        </row>
        <row r="20">
          <cell r="D20" t="str">
            <v>Desk</v>
          </cell>
          <cell r="E20">
            <v>1</v>
          </cell>
          <cell r="F20">
            <v>431.44</v>
          </cell>
          <cell r="K20">
            <v>3</v>
          </cell>
          <cell r="N20">
            <v>431.44</v>
          </cell>
        </row>
        <row r="21">
          <cell r="D21" t="str">
            <v>Monitor</v>
          </cell>
          <cell r="E21">
            <v>5</v>
          </cell>
          <cell r="F21">
            <v>224</v>
          </cell>
          <cell r="K21">
            <v>9</v>
          </cell>
          <cell r="N21">
            <v>1120</v>
          </cell>
        </row>
        <row r="22">
          <cell r="D22" t="str">
            <v>Chair</v>
          </cell>
          <cell r="E22">
            <v>5</v>
          </cell>
          <cell r="F22">
            <v>62.51</v>
          </cell>
          <cell r="K22">
            <v>9</v>
          </cell>
          <cell r="N22">
            <v>312.55</v>
          </cell>
        </row>
        <row r="23">
          <cell r="D23" t="str">
            <v>Monitor</v>
          </cell>
          <cell r="E23">
            <v>4</v>
          </cell>
          <cell r="F23">
            <v>342.95</v>
          </cell>
          <cell r="K23">
            <v>6</v>
          </cell>
          <cell r="N23">
            <v>1371.8</v>
          </cell>
        </row>
        <row r="24">
          <cell r="D24" t="str">
            <v>Monitor</v>
          </cell>
          <cell r="E24">
            <v>2</v>
          </cell>
          <cell r="F24">
            <v>49.62</v>
          </cell>
          <cell r="K24">
            <v>2</v>
          </cell>
          <cell r="N24">
            <v>99.24</v>
          </cell>
        </row>
        <row r="25">
          <cell r="D25" t="str">
            <v>Phone</v>
          </cell>
          <cell r="E25">
            <v>4</v>
          </cell>
          <cell r="F25">
            <v>273.25</v>
          </cell>
          <cell r="K25">
            <v>5</v>
          </cell>
          <cell r="N25">
            <v>1093</v>
          </cell>
        </row>
        <row r="26">
          <cell r="D26" t="str">
            <v>Laptop</v>
          </cell>
          <cell r="E26">
            <v>2</v>
          </cell>
          <cell r="F26">
            <v>230.95</v>
          </cell>
          <cell r="K26">
            <v>3</v>
          </cell>
          <cell r="N26">
            <v>461.9</v>
          </cell>
        </row>
        <row r="27">
          <cell r="D27" t="str">
            <v>Monitor</v>
          </cell>
          <cell r="E27">
            <v>1</v>
          </cell>
          <cell r="F27">
            <v>399.98</v>
          </cell>
          <cell r="K27">
            <v>3</v>
          </cell>
          <cell r="N27">
            <v>399.98</v>
          </cell>
        </row>
        <row r="28">
          <cell r="D28" t="str">
            <v>Laptop</v>
          </cell>
          <cell r="E28">
            <v>5</v>
          </cell>
          <cell r="F28">
            <v>59.55</v>
          </cell>
          <cell r="K28">
            <v>6</v>
          </cell>
          <cell r="N28">
            <v>297.75</v>
          </cell>
        </row>
        <row r="29">
          <cell r="D29" t="str">
            <v>Printer</v>
          </cell>
          <cell r="E29">
            <v>1</v>
          </cell>
          <cell r="F29">
            <v>472.74</v>
          </cell>
          <cell r="K29">
            <v>6</v>
          </cell>
          <cell r="N29">
            <v>472.74</v>
          </cell>
        </row>
        <row r="30">
          <cell r="D30" t="str">
            <v>Phone</v>
          </cell>
          <cell r="E30">
            <v>4</v>
          </cell>
          <cell r="F30">
            <v>160.07</v>
          </cell>
          <cell r="K30">
            <v>5</v>
          </cell>
          <cell r="N30">
            <v>640.28</v>
          </cell>
        </row>
        <row r="31">
          <cell r="D31" t="str">
            <v>Desk</v>
          </cell>
          <cell r="E31">
            <v>3</v>
          </cell>
          <cell r="F31">
            <v>423.53</v>
          </cell>
          <cell r="K31">
            <v>6</v>
          </cell>
          <cell r="N31">
            <v>1270.5899999999999</v>
          </cell>
        </row>
        <row r="32">
          <cell r="D32" t="str">
            <v>Monitor</v>
          </cell>
          <cell r="E32">
            <v>2</v>
          </cell>
          <cell r="F32">
            <v>426.7</v>
          </cell>
          <cell r="K32">
            <v>5</v>
          </cell>
          <cell r="N32">
            <v>853.4</v>
          </cell>
        </row>
        <row r="33">
          <cell r="D33" t="str">
            <v>Chair</v>
          </cell>
          <cell r="E33">
            <v>3</v>
          </cell>
          <cell r="F33">
            <v>500.08</v>
          </cell>
          <cell r="K33">
            <v>6</v>
          </cell>
          <cell r="N33">
            <v>1500.24</v>
          </cell>
        </row>
        <row r="34">
          <cell r="D34" t="str">
            <v>Tablet</v>
          </cell>
          <cell r="E34">
            <v>5</v>
          </cell>
          <cell r="F34">
            <v>536.72</v>
          </cell>
          <cell r="K34">
            <v>10</v>
          </cell>
          <cell r="N34">
            <v>2683.6</v>
          </cell>
        </row>
        <row r="35">
          <cell r="D35" t="str">
            <v>Chair</v>
          </cell>
          <cell r="E35">
            <v>1</v>
          </cell>
          <cell r="F35">
            <v>162.77000000000001</v>
          </cell>
          <cell r="K35">
            <v>4</v>
          </cell>
          <cell r="N35">
            <v>162.77000000000001</v>
          </cell>
        </row>
        <row r="36">
          <cell r="D36" t="str">
            <v>Chair</v>
          </cell>
          <cell r="E36">
            <v>4</v>
          </cell>
          <cell r="F36">
            <v>576.52</v>
          </cell>
          <cell r="K36">
            <v>5</v>
          </cell>
          <cell r="N36">
            <v>2306.08</v>
          </cell>
        </row>
        <row r="37">
          <cell r="D37" t="str">
            <v>Monitor</v>
          </cell>
          <cell r="E37">
            <v>2</v>
          </cell>
          <cell r="F37">
            <v>465.15</v>
          </cell>
          <cell r="K37">
            <v>2</v>
          </cell>
          <cell r="N37">
            <v>930.3</v>
          </cell>
        </row>
        <row r="38">
          <cell r="D38" t="str">
            <v>Laptop</v>
          </cell>
          <cell r="E38">
            <v>2</v>
          </cell>
          <cell r="F38">
            <v>534.42999999999995</v>
          </cell>
          <cell r="K38">
            <v>5</v>
          </cell>
          <cell r="N38">
            <v>1068.8599999999999</v>
          </cell>
        </row>
        <row r="39">
          <cell r="D39" t="str">
            <v>Laptop</v>
          </cell>
          <cell r="E39">
            <v>2</v>
          </cell>
          <cell r="F39">
            <v>76.739999999999995</v>
          </cell>
          <cell r="K39">
            <v>7</v>
          </cell>
          <cell r="N39">
            <v>153.47999999999999</v>
          </cell>
        </row>
        <row r="40">
          <cell r="D40" t="str">
            <v>Laptop</v>
          </cell>
          <cell r="E40">
            <v>1</v>
          </cell>
          <cell r="F40">
            <v>245.89</v>
          </cell>
          <cell r="K40">
            <v>3</v>
          </cell>
          <cell r="N40">
            <v>245.89</v>
          </cell>
        </row>
        <row r="41">
          <cell r="D41" t="str">
            <v>Printer</v>
          </cell>
          <cell r="E41">
            <v>3</v>
          </cell>
          <cell r="F41">
            <v>256.45999999999998</v>
          </cell>
          <cell r="K41">
            <v>4</v>
          </cell>
          <cell r="N41">
            <v>769.38</v>
          </cell>
        </row>
        <row r="42">
          <cell r="D42" t="str">
            <v>Desk</v>
          </cell>
          <cell r="E42">
            <v>2</v>
          </cell>
          <cell r="F42">
            <v>344.02</v>
          </cell>
          <cell r="K42">
            <v>4</v>
          </cell>
          <cell r="N42">
            <v>688.04</v>
          </cell>
        </row>
        <row r="43">
          <cell r="D43" t="str">
            <v>Monitor</v>
          </cell>
          <cell r="E43">
            <v>3</v>
          </cell>
          <cell r="F43">
            <v>611.45000000000005</v>
          </cell>
          <cell r="K43">
            <v>4</v>
          </cell>
          <cell r="N43">
            <v>1834.35</v>
          </cell>
        </row>
        <row r="44">
          <cell r="D44" t="str">
            <v>Printer</v>
          </cell>
          <cell r="E44">
            <v>2</v>
          </cell>
          <cell r="F44">
            <v>151.66</v>
          </cell>
          <cell r="K44">
            <v>6</v>
          </cell>
          <cell r="N44">
            <v>303.32</v>
          </cell>
        </row>
        <row r="45">
          <cell r="D45" t="str">
            <v>Chair</v>
          </cell>
          <cell r="E45">
            <v>3</v>
          </cell>
          <cell r="F45">
            <v>499.21</v>
          </cell>
          <cell r="K45">
            <v>8</v>
          </cell>
          <cell r="N45">
            <v>1497.63</v>
          </cell>
        </row>
        <row r="46">
          <cell r="D46" t="str">
            <v>Phone</v>
          </cell>
          <cell r="E46">
            <v>2</v>
          </cell>
          <cell r="F46">
            <v>550.17999999999995</v>
          </cell>
          <cell r="K46">
            <v>3</v>
          </cell>
          <cell r="N46">
            <v>1100.3599999999999</v>
          </cell>
        </row>
        <row r="47">
          <cell r="D47" t="str">
            <v>Chair</v>
          </cell>
          <cell r="E47">
            <v>1</v>
          </cell>
          <cell r="F47">
            <v>317.25</v>
          </cell>
          <cell r="K47">
            <v>1</v>
          </cell>
          <cell r="N47">
            <v>317.25</v>
          </cell>
        </row>
        <row r="48">
          <cell r="D48" t="str">
            <v>Monitor</v>
          </cell>
          <cell r="E48">
            <v>4</v>
          </cell>
          <cell r="F48">
            <v>550.14</v>
          </cell>
          <cell r="K48">
            <v>4</v>
          </cell>
          <cell r="N48">
            <v>2200.56</v>
          </cell>
        </row>
        <row r="49">
          <cell r="D49" t="str">
            <v>Desk</v>
          </cell>
          <cell r="E49">
            <v>2</v>
          </cell>
          <cell r="F49">
            <v>209.94</v>
          </cell>
          <cell r="K49">
            <v>3</v>
          </cell>
          <cell r="N49">
            <v>419.88</v>
          </cell>
        </row>
        <row r="50">
          <cell r="D50" t="str">
            <v>Monitor</v>
          </cell>
          <cell r="E50">
            <v>2</v>
          </cell>
          <cell r="F50">
            <v>80.77</v>
          </cell>
          <cell r="K50">
            <v>4</v>
          </cell>
          <cell r="N50">
            <v>161.54</v>
          </cell>
        </row>
        <row r="51">
          <cell r="D51" t="str">
            <v>Printer</v>
          </cell>
          <cell r="E51">
            <v>1</v>
          </cell>
          <cell r="F51">
            <v>30.44</v>
          </cell>
          <cell r="K51">
            <v>1</v>
          </cell>
          <cell r="N51">
            <v>30.44</v>
          </cell>
        </row>
        <row r="52">
          <cell r="D52" t="str">
            <v>Tablet</v>
          </cell>
          <cell r="E52">
            <v>1</v>
          </cell>
          <cell r="F52">
            <v>179.22</v>
          </cell>
          <cell r="K52">
            <v>6</v>
          </cell>
          <cell r="N52">
            <v>179.22</v>
          </cell>
        </row>
        <row r="53">
          <cell r="D53" t="str">
            <v>Tablet</v>
          </cell>
          <cell r="E53">
            <v>1</v>
          </cell>
          <cell r="F53">
            <v>388.33</v>
          </cell>
          <cell r="K53">
            <v>2</v>
          </cell>
          <cell r="N53">
            <v>388.33</v>
          </cell>
        </row>
        <row r="54">
          <cell r="D54" t="str">
            <v>Tablet</v>
          </cell>
          <cell r="E54">
            <v>1</v>
          </cell>
          <cell r="F54">
            <v>586.44000000000005</v>
          </cell>
          <cell r="K54">
            <v>5</v>
          </cell>
          <cell r="N54">
            <v>586.44000000000005</v>
          </cell>
        </row>
        <row r="55">
          <cell r="D55" t="str">
            <v>Phone</v>
          </cell>
          <cell r="E55">
            <v>4</v>
          </cell>
          <cell r="F55">
            <v>488.78</v>
          </cell>
          <cell r="K55">
            <v>5</v>
          </cell>
          <cell r="N55">
            <v>1955.12</v>
          </cell>
        </row>
        <row r="56">
          <cell r="D56" t="str">
            <v>Chair</v>
          </cell>
          <cell r="E56">
            <v>1</v>
          </cell>
          <cell r="F56">
            <v>280.25</v>
          </cell>
          <cell r="K56">
            <v>5</v>
          </cell>
          <cell r="N56">
            <v>280.25</v>
          </cell>
        </row>
        <row r="57">
          <cell r="D57" t="str">
            <v>Printer</v>
          </cell>
          <cell r="E57">
            <v>3</v>
          </cell>
          <cell r="F57">
            <v>344.4</v>
          </cell>
          <cell r="K57">
            <v>3</v>
          </cell>
          <cell r="N57">
            <v>1033.2</v>
          </cell>
        </row>
        <row r="58">
          <cell r="D58" t="str">
            <v>Tablet</v>
          </cell>
          <cell r="E58">
            <v>3</v>
          </cell>
          <cell r="F58">
            <v>479.21</v>
          </cell>
          <cell r="K58">
            <v>5</v>
          </cell>
          <cell r="N58">
            <v>1437.63</v>
          </cell>
        </row>
        <row r="59">
          <cell r="D59" t="str">
            <v>Printer</v>
          </cell>
          <cell r="E59">
            <v>5</v>
          </cell>
          <cell r="F59">
            <v>314.27</v>
          </cell>
          <cell r="K59">
            <v>6</v>
          </cell>
          <cell r="N59">
            <v>1571.35</v>
          </cell>
        </row>
        <row r="60">
          <cell r="D60" t="str">
            <v>Phone</v>
          </cell>
          <cell r="E60">
            <v>4</v>
          </cell>
          <cell r="F60">
            <v>474.69</v>
          </cell>
          <cell r="K60">
            <v>6</v>
          </cell>
          <cell r="N60">
            <v>1898.76</v>
          </cell>
        </row>
        <row r="61">
          <cell r="D61" t="str">
            <v>Chair</v>
          </cell>
          <cell r="E61">
            <v>4</v>
          </cell>
          <cell r="F61">
            <v>593.27</v>
          </cell>
          <cell r="K61">
            <v>5</v>
          </cell>
          <cell r="N61">
            <v>2373.08</v>
          </cell>
        </row>
        <row r="62">
          <cell r="D62" t="str">
            <v>Desk</v>
          </cell>
          <cell r="E62">
            <v>1</v>
          </cell>
          <cell r="F62">
            <v>417.1</v>
          </cell>
          <cell r="K62">
            <v>3</v>
          </cell>
          <cell r="N62">
            <v>417.1</v>
          </cell>
        </row>
        <row r="63">
          <cell r="D63" t="str">
            <v>Desk</v>
          </cell>
          <cell r="E63">
            <v>4</v>
          </cell>
          <cell r="F63">
            <v>122.2</v>
          </cell>
          <cell r="K63">
            <v>7</v>
          </cell>
          <cell r="N63">
            <v>488.8</v>
          </cell>
        </row>
        <row r="64">
          <cell r="D64" t="str">
            <v>Desk</v>
          </cell>
          <cell r="E64">
            <v>2</v>
          </cell>
          <cell r="F64">
            <v>43.15</v>
          </cell>
          <cell r="K64">
            <v>3</v>
          </cell>
          <cell r="N64">
            <v>86.3</v>
          </cell>
        </row>
        <row r="65">
          <cell r="D65" t="str">
            <v>Chair</v>
          </cell>
          <cell r="E65">
            <v>1</v>
          </cell>
          <cell r="F65">
            <v>564.86</v>
          </cell>
          <cell r="K65">
            <v>6</v>
          </cell>
          <cell r="N65">
            <v>564.86</v>
          </cell>
        </row>
        <row r="66">
          <cell r="D66" t="str">
            <v>Printer</v>
          </cell>
          <cell r="E66">
            <v>3</v>
          </cell>
          <cell r="F66">
            <v>130.61000000000001</v>
          </cell>
          <cell r="K66">
            <v>4</v>
          </cell>
          <cell r="N66">
            <v>391.83</v>
          </cell>
        </row>
        <row r="67">
          <cell r="D67" t="str">
            <v>Monitor</v>
          </cell>
          <cell r="E67">
            <v>5</v>
          </cell>
          <cell r="F67">
            <v>81.7</v>
          </cell>
          <cell r="K67">
            <v>6</v>
          </cell>
          <cell r="N67">
            <v>408.5</v>
          </cell>
        </row>
        <row r="68">
          <cell r="D68" t="str">
            <v>Chair</v>
          </cell>
          <cell r="E68">
            <v>5</v>
          </cell>
          <cell r="F68">
            <v>127.18</v>
          </cell>
          <cell r="K68">
            <v>9</v>
          </cell>
          <cell r="N68">
            <v>635.9</v>
          </cell>
        </row>
        <row r="69">
          <cell r="D69" t="str">
            <v>Printer</v>
          </cell>
          <cell r="E69">
            <v>4</v>
          </cell>
          <cell r="F69">
            <v>12.1</v>
          </cell>
          <cell r="K69">
            <v>8</v>
          </cell>
          <cell r="N69">
            <v>48.4</v>
          </cell>
        </row>
        <row r="70">
          <cell r="D70" t="str">
            <v>Chair</v>
          </cell>
          <cell r="E70">
            <v>3</v>
          </cell>
          <cell r="F70">
            <v>490.92</v>
          </cell>
          <cell r="K70">
            <v>5</v>
          </cell>
          <cell r="N70">
            <v>1472.76</v>
          </cell>
        </row>
        <row r="71">
          <cell r="D71" t="str">
            <v>Monitor</v>
          </cell>
          <cell r="E71">
            <v>3</v>
          </cell>
          <cell r="F71">
            <v>478.65</v>
          </cell>
          <cell r="K71">
            <v>4</v>
          </cell>
          <cell r="N71">
            <v>1435.95</v>
          </cell>
        </row>
        <row r="72">
          <cell r="D72" t="str">
            <v>Desk</v>
          </cell>
          <cell r="E72">
            <v>1</v>
          </cell>
          <cell r="F72">
            <v>629.21</v>
          </cell>
          <cell r="K72">
            <v>2</v>
          </cell>
          <cell r="N72">
            <v>629.21</v>
          </cell>
        </row>
        <row r="73">
          <cell r="D73" t="str">
            <v>Monitor</v>
          </cell>
          <cell r="E73">
            <v>3</v>
          </cell>
          <cell r="F73">
            <v>434.45</v>
          </cell>
          <cell r="K73">
            <v>4</v>
          </cell>
          <cell r="N73">
            <v>1303.3499999999999</v>
          </cell>
        </row>
        <row r="74">
          <cell r="D74" t="str">
            <v>Tablet</v>
          </cell>
          <cell r="E74">
            <v>4</v>
          </cell>
          <cell r="F74">
            <v>589.44000000000005</v>
          </cell>
          <cell r="K74">
            <v>5</v>
          </cell>
          <cell r="N74">
            <v>2357.7600000000002</v>
          </cell>
        </row>
        <row r="75">
          <cell r="D75" t="str">
            <v>Monitor</v>
          </cell>
          <cell r="E75">
            <v>4</v>
          </cell>
          <cell r="F75">
            <v>433.45</v>
          </cell>
          <cell r="K75">
            <v>4</v>
          </cell>
          <cell r="N75">
            <v>1733.8</v>
          </cell>
        </row>
        <row r="76">
          <cell r="D76" t="str">
            <v>Phone</v>
          </cell>
          <cell r="E76">
            <v>5</v>
          </cell>
          <cell r="F76">
            <v>90.87</v>
          </cell>
          <cell r="K76">
            <v>5</v>
          </cell>
          <cell r="N76">
            <v>454.35</v>
          </cell>
        </row>
        <row r="77">
          <cell r="D77" t="str">
            <v>Tablet</v>
          </cell>
          <cell r="E77">
            <v>3</v>
          </cell>
          <cell r="F77">
            <v>398.17</v>
          </cell>
          <cell r="K77">
            <v>5</v>
          </cell>
          <cell r="N77">
            <v>1194.51</v>
          </cell>
        </row>
        <row r="78">
          <cell r="D78" t="str">
            <v>Laptop</v>
          </cell>
          <cell r="E78">
            <v>4</v>
          </cell>
          <cell r="F78">
            <v>382.88</v>
          </cell>
          <cell r="K78">
            <v>6</v>
          </cell>
          <cell r="N78">
            <v>1531.52</v>
          </cell>
        </row>
        <row r="79">
          <cell r="D79" t="str">
            <v>Phone</v>
          </cell>
          <cell r="E79">
            <v>1</v>
          </cell>
          <cell r="F79">
            <v>583.17999999999995</v>
          </cell>
          <cell r="K79">
            <v>5</v>
          </cell>
          <cell r="N79">
            <v>583.17999999999995</v>
          </cell>
        </row>
        <row r="80">
          <cell r="D80" t="str">
            <v>Printer</v>
          </cell>
          <cell r="E80">
            <v>4</v>
          </cell>
          <cell r="F80">
            <v>175.36</v>
          </cell>
          <cell r="K80">
            <v>4</v>
          </cell>
          <cell r="N80">
            <v>701.44</v>
          </cell>
        </row>
        <row r="81">
          <cell r="D81" t="str">
            <v>Tablet</v>
          </cell>
          <cell r="E81">
            <v>2</v>
          </cell>
          <cell r="F81">
            <v>311.91000000000003</v>
          </cell>
          <cell r="K81">
            <v>2</v>
          </cell>
          <cell r="N81">
            <v>623.82000000000005</v>
          </cell>
        </row>
        <row r="82">
          <cell r="D82" t="str">
            <v>Phone</v>
          </cell>
          <cell r="E82">
            <v>3</v>
          </cell>
          <cell r="F82">
            <v>589.55999999999995</v>
          </cell>
          <cell r="K82">
            <v>6</v>
          </cell>
          <cell r="N82">
            <v>1768.68</v>
          </cell>
        </row>
        <row r="83">
          <cell r="D83" t="str">
            <v>Monitor</v>
          </cell>
          <cell r="E83">
            <v>2</v>
          </cell>
          <cell r="F83">
            <v>394.3</v>
          </cell>
          <cell r="K83">
            <v>6</v>
          </cell>
          <cell r="N83">
            <v>788.6</v>
          </cell>
        </row>
        <row r="84">
          <cell r="D84" t="str">
            <v>Tablet</v>
          </cell>
          <cell r="E84">
            <v>4</v>
          </cell>
          <cell r="F84">
            <v>565.20000000000005</v>
          </cell>
          <cell r="K84">
            <v>9</v>
          </cell>
          <cell r="N84">
            <v>2260.8000000000002</v>
          </cell>
        </row>
        <row r="85">
          <cell r="D85" t="str">
            <v>Laptop</v>
          </cell>
          <cell r="E85">
            <v>4</v>
          </cell>
          <cell r="F85">
            <v>540.41</v>
          </cell>
          <cell r="K85">
            <v>6</v>
          </cell>
          <cell r="N85">
            <v>2161.64</v>
          </cell>
        </row>
        <row r="86">
          <cell r="D86" t="str">
            <v>Monitor</v>
          </cell>
          <cell r="E86">
            <v>2</v>
          </cell>
          <cell r="F86">
            <v>165.49</v>
          </cell>
          <cell r="K86">
            <v>4</v>
          </cell>
          <cell r="N86">
            <v>330.98</v>
          </cell>
        </row>
        <row r="87">
          <cell r="D87" t="str">
            <v>Tablet</v>
          </cell>
          <cell r="E87">
            <v>3</v>
          </cell>
          <cell r="F87">
            <v>146.72999999999999</v>
          </cell>
          <cell r="K87">
            <v>8</v>
          </cell>
          <cell r="N87">
            <v>440.19</v>
          </cell>
        </row>
        <row r="88">
          <cell r="D88" t="str">
            <v>Printer</v>
          </cell>
          <cell r="E88">
            <v>5</v>
          </cell>
          <cell r="F88">
            <v>643.03</v>
          </cell>
          <cell r="K88">
            <v>5</v>
          </cell>
          <cell r="N88">
            <v>3215.15</v>
          </cell>
        </row>
        <row r="89">
          <cell r="D89" t="str">
            <v>Tablet</v>
          </cell>
          <cell r="E89">
            <v>3</v>
          </cell>
          <cell r="F89">
            <v>225.11</v>
          </cell>
          <cell r="K89">
            <v>4</v>
          </cell>
          <cell r="N89">
            <v>675.33</v>
          </cell>
        </row>
        <row r="90">
          <cell r="D90" t="str">
            <v>Desk</v>
          </cell>
          <cell r="E90">
            <v>3</v>
          </cell>
          <cell r="F90">
            <v>114.81</v>
          </cell>
          <cell r="K90">
            <v>7</v>
          </cell>
          <cell r="N90">
            <v>344.43</v>
          </cell>
        </row>
        <row r="91">
          <cell r="D91" t="str">
            <v>Printer</v>
          </cell>
          <cell r="E91">
            <v>5</v>
          </cell>
          <cell r="F91">
            <v>455.33</v>
          </cell>
          <cell r="K91">
            <v>8</v>
          </cell>
          <cell r="N91">
            <v>2276.65</v>
          </cell>
        </row>
        <row r="92">
          <cell r="D92" t="str">
            <v>Chair</v>
          </cell>
          <cell r="E92">
            <v>4</v>
          </cell>
          <cell r="F92">
            <v>182.08</v>
          </cell>
          <cell r="K92">
            <v>4</v>
          </cell>
          <cell r="N92">
            <v>728.32</v>
          </cell>
        </row>
        <row r="93">
          <cell r="D93" t="str">
            <v>Laptop</v>
          </cell>
          <cell r="E93">
            <v>5</v>
          </cell>
          <cell r="F93">
            <v>492.75</v>
          </cell>
          <cell r="K93">
            <v>6</v>
          </cell>
          <cell r="N93">
            <v>2463.75</v>
          </cell>
        </row>
        <row r="94">
          <cell r="D94" t="str">
            <v>Printer</v>
          </cell>
          <cell r="E94">
            <v>4</v>
          </cell>
          <cell r="F94">
            <v>48.61</v>
          </cell>
          <cell r="K94">
            <v>7</v>
          </cell>
          <cell r="N94">
            <v>194.44</v>
          </cell>
        </row>
        <row r="95">
          <cell r="D95" t="str">
            <v>Desk</v>
          </cell>
          <cell r="E95">
            <v>4</v>
          </cell>
          <cell r="F95">
            <v>431.01</v>
          </cell>
          <cell r="K95">
            <v>7</v>
          </cell>
          <cell r="N95">
            <v>1724.04</v>
          </cell>
        </row>
        <row r="96">
          <cell r="D96" t="str">
            <v>Chair</v>
          </cell>
          <cell r="E96">
            <v>1</v>
          </cell>
          <cell r="F96">
            <v>531.17999999999995</v>
          </cell>
          <cell r="K96">
            <v>6</v>
          </cell>
          <cell r="N96">
            <v>531.17999999999995</v>
          </cell>
        </row>
        <row r="97">
          <cell r="D97" t="str">
            <v>Printer</v>
          </cell>
          <cell r="E97">
            <v>4</v>
          </cell>
          <cell r="F97">
            <v>117.51</v>
          </cell>
          <cell r="K97">
            <v>7</v>
          </cell>
          <cell r="N97">
            <v>470.04</v>
          </cell>
        </row>
        <row r="98">
          <cell r="D98" t="str">
            <v>Phone</v>
          </cell>
          <cell r="E98">
            <v>2</v>
          </cell>
          <cell r="F98">
            <v>232.83</v>
          </cell>
          <cell r="K98">
            <v>7</v>
          </cell>
          <cell r="N98">
            <v>465.66</v>
          </cell>
        </row>
        <row r="99">
          <cell r="D99" t="str">
            <v>Tablet</v>
          </cell>
          <cell r="E99">
            <v>5</v>
          </cell>
          <cell r="F99">
            <v>619.52</v>
          </cell>
          <cell r="K99">
            <v>9</v>
          </cell>
          <cell r="N99">
            <v>3097.6</v>
          </cell>
        </row>
        <row r="100">
          <cell r="D100" t="str">
            <v>Printer</v>
          </cell>
          <cell r="E100">
            <v>2</v>
          </cell>
          <cell r="F100">
            <v>228.54</v>
          </cell>
          <cell r="K100">
            <v>3</v>
          </cell>
          <cell r="N100">
            <v>457.08</v>
          </cell>
        </row>
        <row r="101">
          <cell r="D101" t="str">
            <v>Printer</v>
          </cell>
          <cell r="E101">
            <v>1</v>
          </cell>
          <cell r="F101">
            <v>201.58</v>
          </cell>
          <cell r="K101">
            <v>2</v>
          </cell>
          <cell r="N101">
            <v>201.58</v>
          </cell>
        </row>
        <row r="102">
          <cell r="D102" t="str">
            <v>Phone</v>
          </cell>
          <cell r="E102">
            <v>3</v>
          </cell>
          <cell r="F102">
            <v>664.79</v>
          </cell>
          <cell r="K102">
            <v>6</v>
          </cell>
          <cell r="N102">
            <v>1994.37</v>
          </cell>
        </row>
        <row r="103">
          <cell r="D103" t="str">
            <v>Printer</v>
          </cell>
          <cell r="E103">
            <v>1</v>
          </cell>
          <cell r="F103">
            <v>381.02</v>
          </cell>
          <cell r="K103">
            <v>6</v>
          </cell>
          <cell r="N103">
            <v>381.02</v>
          </cell>
        </row>
        <row r="104">
          <cell r="D104" t="str">
            <v>Laptop</v>
          </cell>
          <cell r="E104">
            <v>2</v>
          </cell>
          <cell r="F104">
            <v>70.34</v>
          </cell>
          <cell r="K104">
            <v>3</v>
          </cell>
          <cell r="N104">
            <v>140.68</v>
          </cell>
        </row>
        <row r="105">
          <cell r="D105" t="str">
            <v>Phone</v>
          </cell>
          <cell r="E105">
            <v>4</v>
          </cell>
          <cell r="F105">
            <v>218.43</v>
          </cell>
          <cell r="K105">
            <v>9</v>
          </cell>
          <cell r="N105">
            <v>873.72</v>
          </cell>
        </row>
        <row r="106">
          <cell r="D106" t="str">
            <v>Phone</v>
          </cell>
          <cell r="E106">
            <v>1</v>
          </cell>
          <cell r="F106">
            <v>582.04</v>
          </cell>
          <cell r="K106">
            <v>1</v>
          </cell>
          <cell r="N106">
            <v>582.04</v>
          </cell>
        </row>
        <row r="107">
          <cell r="D107" t="str">
            <v>Printer</v>
          </cell>
          <cell r="E107">
            <v>3</v>
          </cell>
          <cell r="F107">
            <v>185.4</v>
          </cell>
          <cell r="K107">
            <v>7</v>
          </cell>
          <cell r="N107">
            <v>556.20000000000005</v>
          </cell>
        </row>
        <row r="108">
          <cell r="D108" t="str">
            <v>Desk</v>
          </cell>
          <cell r="E108">
            <v>3</v>
          </cell>
          <cell r="F108">
            <v>465.05</v>
          </cell>
          <cell r="K108">
            <v>3</v>
          </cell>
          <cell r="N108">
            <v>1395.15</v>
          </cell>
        </row>
        <row r="109">
          <cell r="D109" t="str">
            <v>Printer</v>
          </cell>
          <cell r="E109">
            <v>5</v>
          </cell>
          <cell r="F109">
            <v>670.75</v>
          </cell>
          <cell r="K109">
            <v>8</v>
          </cell>
          <cell r="N109">
            <v>3353.75</v>
          </cell>
        </row>
        <row r="110">
          <cell r="D110" t="str">
            <v>Laptop</v>
          </cell>
          <cell r="E110">
            <v>5</v>
          </cell>
          <cell r="F110">
            <v>48.38</v>
          </cell>
          <cell r="K110">
            <v>9</v>
          </cell>
          <cell r="N110">
            <v>241.9</v>
          </cell>
        </row>
        <row r="111">
          <cell r="D111" t="str">
            <v>Desk</v>
          </cell>
          <cell r="E111">
            <v>3</v>
          </cell>
          <cell r="F111">
            <v>592.87</v>
          </cell>
          <cell r="K111">
            <v>3</v>
          </cell>
          <cell r="N111">
            <v>1778.61</v>
          </cell>
        </row>
        <row r="112">
          <cell r="D112" t="str">
            <v>Tablet</v>
          </cell>
          <cell r="E112">
            <v>1</v>
          </cell>
          <cell r="F112">
            <v>220.77</v>
          </cell>
          <cell r="K112">
            <v>5</v>
          </cell>
          <cell r="N112">
            <v>220.77</v>
          </cell>
        </row>
        <row r="113">
          <cell r="D113" t="str">
            <v>Desk</v>
          </cell>
          <cell r="E113">
            <v>3</v>
          </cell>
          <cell r="F113">
            <v>309.22000000000003</v>
          </cell>
          <cell r="K113">
            <v>7</v>
          </cell>
          <cell r="N113">
            <v>927.66</v>
          </cell>
        </row>
        <row r="114">
          <cell r="D114" t="str">
            <v>Monitor</v>
          </cell>
          <cell r="E114">
            <v>1</v>
          </cell>
          <cell r="F114">
            <v>410.6</v>
          </cell>
          <cell r="K114">
            <v>2</v>
          </cell>
          <cell r="N114">
            <v>410.6</v>
          </cell>
        </row>
        <row r="115">
          <cell r="D115" t="str">
            <v>Laptop</v>
          </cell>
          <cell r="E115">
            <v>5</v>
          </cell>
          <cell r="F115">
            <v>190.08</v>
          </cell>
          <cell r="K115">
            <v>9</v>
          </cell>
          <cell r="N115">
            <v>950.4</v>
          </cell>
        </row>
        <row r="116">
          <cell r="D116" t="str">
            <v>Monitor</v>
          </cell>
          <cell r="E116">
            <v>5</v>
          </cell>
          <cell r="F116">
            <v>498.48</v>
          </cell>
          <cell r="K116">
            <v>8</v>
          </cell>
          <cell r="N116">
            <v>2492.4</v>
          </cell>
        </row>
        <row r="117">
          <cell r="D117" t="str">
            <v>Phone</v>
          </cell>
          <cell r="E117">
            <v>5</v>
          </cell>
          <cell r="F117">
            <v>374.99</v>
          </cell>
          <cell r="K117">
            <v>9</v>
          </cell>
          <cell r="N117">
            <v>1874.95</v>
          </cell>
        </row>
        <row r="118">
          <cell r="D118" t="str">
            <v>Printer</v>
          </cell>
          <cell r="E118">
            <v>4</v>
          </cell>
          <cell r="F118">
            <v>291.35000000000002</v>
          </cell>
          <cell r="K118">
            <v>6</v>
          </cell>
          <cell r="N118">
            <v>1165.4000000000001</v>
          </cell>
        </row>
        <row r="119">
          <cell r="D119" t="str">
            <v>Tablet</v>
          </cell>
          <cell r="E119">
            <v>1</v>
          </cell>
          <cell r="F119">
            <v>535.5</v>
          </cell>
          <cell r="K119">
            <v>5</v>
          </cell>
          <cell r="N119">
            <v>535.5</v>
          </cell>
        </row>
        <row r="120">
          <cell r="D120" t="str">
            <v>Printer</v>
          </cell>
          <cell r="E120">
            <v>5</v>
          </cell>
          <cell r="F120">
            <v>502.71</v>
          </cell>
          <cell r="K120">
            <v>7</v>
          </cell>
          <cell r="N120">
            <v>2513.5500000000002</v>
          </cell>
        </row>
        <row r="121">
          <cell r="D121" t="str">
            <v>Desk</v>
          </cell>
          <cell r="E121">
            <v>2</v>
          </cell>
          <cell r="F121">
            <v>534.66999999999996</v>
          </cell>
          <cell r="K121">
            <v>7</v>
          </cell>
          <cell r="N121">
            <v>1069.3399999999999</v>
          </cell>
        </row>
        <row r="122">
          <cell r="D122" t="str">
            <v>Tablet</v>
          </cell>
          <cell r="E122">
            <v>4</v>
          </cell>
          <cell r="F122">
            <v>629.34</v>
          </cell>
          <cell r="K122">
            <v>4</v>
          </cell>
          <cell r="N122">
            <v>2517.36</v>
          </cell>
        </row>
        <row r="123">
          <cell r="D123" t="str">
            <v>Desk</v>
          </cell>
          <cell r="E123">
            <v>1</v>
          </cell>
          <cell r="F123">
            <v>410.78</v>
          </cell>
          <cell r="K123">
            <v>1</v>
          </cell>
          <cell r="N123">
            <v>410.78</v>
          </cell>
        </row>
        <row r="124">
          <cell r="D124" t="str">
            <v>Laptop</v>
          </cell>
          <cell r="E124">
            <v>2</v>
          </cell>
          <cell r="F124">
            <v>533.02</v>
          </cell>
          <cell r="K124">
            <v>2</v>
          </cell>
          <cell r="N124">
            <v>1066.04</v>
          </cell>
        </row>
        <row r="125">
          <cell r="D125" t="str">
            <v>Desk</v>
          </cell>
          <cell r="E125">
            <v>3</v>
          </cell>
          <cell r="F125">
            <v>278.04000000000002</v>
          </cell>
          <cell r="K125">
            <v>5</v>
          </cell>
          <cell r="N125">
            <v>834.12</v>
          </cell>
        </row>
        <row r="126">
          <cell r="D126" t="str">
            <v>Printer</v>
          </cell>
          <cell r="E126">
            <v>4</v>
          </cell>
          <cell r="F126">
            <v>283.79000000000002</v>
          </cell>
          <cell r="K126">
            <v>8</v>
          </cell>
          <cell r="N126">
            <v>1135.1600000000001</v>
          </cell>
        </row>
        <row r="127">
          <cell r="D127" t="str">
            <v>Phone</v>
          </cell>
          <cell r="E127">
            <v>2</v>
          </cell>
          <cell r="F127">
            <v>512.65</v>
          </cell>
          <cell r="K127">
            <v>5</v>
          </cell>
          <cell r="N127">
            <v>1025.3</v>
          </cell>
        </row>
        <row r="128">
          <cell r="D128" t="str">
            <v>Desk</v>
          </cell>
          <cell r="E128">
            <v>4</v>
          </cell>
          <cell r="F128">
            <v>275.5</v>
          </cell>
          <cell r="K128">
            <v>8</v>
          </cell>
          <cell r="N128">
            <v>1102</v>
          </cell>
        </row>
        <row r="129">
          <cell r="D129" t="str">
            <v>Desk</v>
          </cell>
          <cell r="E129">
            <v>3</v>
          </cell>
          <cell r="F129">
            <v>469.32</v>
          </cell>
          <cell r="K129">
            <v>3</v>
          </cell>
          <cell r="N129">
            <v>1407.96</v>
          </cell>
        </row>
        <row r="130">
          <cell r="D130" t="str">
            <v>Tablet</v>
          </cell>
          <cell r="E130">
            <v>4</v>
          </cell>
          <cell r="F130">
            <v>21.07</v>
          </cell>
          <cell r="K130">
            <v>4</v>
          </cell>
          <cell r="N130">
            <v>84.28</v>
          </cell>
        </row>
        <row r="131">
          <cell r="D131" t="str">
            <v>Laptop</v>
          </cell>
          <cell r="E131">
            <v>4</v>
          </cell>
          <cell r="F131">
            <v>263.93</v>
          </cell>
          <cell r="K131">
            <v>4</v>
          </cell>
          <cell r="N131">
            <v>1055.72</v>
          </cell>
        </row>
        <row r="132">
          <cell r="D132" t="str">
            <v>Desk</v>
          </cell>
          <cell r="E132">
            <v>3</v>
          </cell>
          <cell r="F132">
            <v>501.3</v>
          </cell>
          <cell r="K132">
            <v>3</v>
          </cell>
          <cell r="N132">
            <v>1503.9</v>
          </cell>
        </row>
        <row r="133">
          <cell r="D133" t="str">
            <v>Tablet</v>
          </cell>
          <cell r="E133">
            <v>1</v>
          </cell>
          <cell r="F133">
            <v>84.8</v>
          </cell>
          <cell r="K133">
            <v>5</v>
          </cell>
          <cell r="N133">
            <v>84.8</v>
          </cell>
        </row>
        <row r="134">
          <cell r="D134" t="str">
            <v>Tablet</v>
          </cell>
          <cell r="E134">
            <v>4</v>
          </cell>
          <cell r="F134">
            <v>450.75</v>
          </cell>
          <cell r="K134">
            <v>6</v>
          </cell>
          <cell r="N134">
            <v>1803</v>
          </cell>
        </row>
        <row r="135">
          <cell r="D135" t="str">
            <v>Chair</v>
          </cell>
          <cell r="E135">
            <v>4</v>
          </cell>
          <cell r="F135">
            <v>302.05</v>
          </cell>
          <cell r="K135">
            <v>6</v>
          </cell>
          <cell r="N135">
            <v>1208.2</v>
          </cell>
        </row>
        <row r="136">
          <cell r="D136" t="str">
            <v>Laptop</v>
          </cell>
          <cell r="E136">
            <v>2</v>
          </cell>
          <cell r="F136">
            <v>199.7</v>
          </cell>
          <cell r="K136">
            <v>4</v>
          </cell>
          <cell r="N136">
            <v>399.4</v>
          </cell>
        </row>
        <row r="137">
          <cell r="D137" t="str">
            <v>Printer</v>
          </cell>
          <cell r="E137">
            <v>2</v>
          </cell>
          <cell r="F137">
            <v>68.81</v>
          </cell>
          <cell r="K137">
            <v>5</v>
          </cell>
          <cell r="N137">
            <v>137.62</v>
          </cell>
        </row>
        <row r="138">
          <cell r="D138" t="str">
            <v>Laptop</v>
          </cell>
          <cell r="E138">
            <v>1</v>
          </cell>
          <cell r="F138">
            <v>44.35</v>
          </cell>
          <cell r="K138">
            <v>1</v>
          </cell>
          <cell r="N138">
            <v>44.35</v>
          </cell>
        </row>
        <row r="139">
          <cell r="D139" t="str">
            <v>Monitor</v>
          </cell>
          <cell r="E139">
            <v>2</v>
          </cell>
          <cell r="F139">
            <v>250.98</v>
          </cell>
          <cell r="K139">
            <v>5</v>
          </cell>
          <cell r="N139">
            <v>501.96</v>
          </cell>
        </row>
        <row r="140">
          <cell r="D140" t="str">
            <v>Tablet</v>
          </cell>
          <cell r="E140">
            <v>1</v>
          </cell>
          <cell r="F140">
            <v>298.06</v>
          </cell>
          <cell r="K140">
            <v>3</v>
          </cell>
          <cell r="N140">
            <v>298.06</v>
          </cell>
        </row>
        <row r="141">
          <cell r="D141" t="str">
            <v>Phone</v>
          </cell>
          <cell r="E141">
            <v>1</v>
          </cell>
          <cell r="F141">
            <v>583.9</v>
          </cell>
          <cell r="K141">
            <v>1</v>
          </cell>
          <cell r="N141">
            <v>583.9</v>
          </cell>
        </row>
        <row r="142">
          <cell r="D142" t="str">
            <v>Chair</v>
          </cell>
          <cell r="E142">
            <v>3</v>
          </cell>
          <cell r="F142">
            <v>528.14</v>
          </cell>
          <cell r="K142">
            <v>3</v>
          </cell>
          <cell r="N142">
            <v>1584.42</v>
          </cell>
        </row>
        <row r="143">
          <cell r="D143" t="str">
            <v>Printer</v>
          </cell>
          <cell r="E143">
            <v>3</v>
          </cell>
          <cell r="F143">
            <v>684.14</v>
          </cell>
          <cell r="K143">
            <v>3</v>
          </cell>
          <cell r="N143">
            <v>2052.42</v>
          </cell>
        </row>
        <row r="144">
          <cell r="D144" t="str">
            <v>Desk</v>
          </cell>
          <cell r="E144">
            <v>5</v>
          </cell>
          <cell r="F144">
            <v>272.77</v>
          </cell>
          <cell r="K144">
            <v>7</v>
          </cell>
          <cell r="N144">
            <v>1363.85</v>
          </cell>
        </row>
        <row r="145">
          <cell r="D145" t="str">
            <v>Chair</v>
          </cell>
          <cell r="E145">
            <v>4</v>
          </cell>
          <cell r="F145">
            <v>400.07</v>
          </cell>
          <cell r="K145">
            <v>5</v>
          </cell>
          <cell r="N145">
            <v>1600.28</v>
          </cell>
        </row>
        <row r="146">
          <cell r="D146" t="str">
            <v>Desk</v>
          </cell>
          <cell r="E146">
            <v>5</v>
          </cell>
          <cell r="F146">
            <v>219.78</v>
          </cell>
          <cell r="K146">
            <v>8</v>
          </cell>
          <cell r="N146">
            <v>1098.9000000000001</v>
          </cell>
        </row>
        <row r="147">
          <cell r="D147" t="str">
            <v>Printer</v>
          </cell>
          <cell r="E147">
            <v>3</v>
          </cell>
          <cell r="F147">
            <v>146.91</v>
          </cell>
          <cell r="K147">
            <v>6</v>
          </cell>
          <cell r="N147">
            <v>440.73</v>
          </cell>
        </row>
        <row r="148">
          <cell r="D148" t="str">
            <v>Tablet</v>
          </cell>
          <cell r="E148">
            <v>2</v>
          </cell>
          <cell r="F148">
            <v>411.49</v>
          </cell>
          <cell r="K148">
            <v>4</v>
          </cell>
          <cell r="N148">
            <v>822.98</v>
          </cell>
        </row>
        <row r="149">
          <cell r="D149" t="str">
            <v>Laptop</v>
          </cell>
          <cell r="E149">
            <v>2</v>
          </cell>
          <cell r="F149">
            <v>465.18</v>
          </cell>
          <cell r="K149">
            <v>2</v>
          </cell>
          <cell r="N149">
            <v>930.36</v>
          </cell>
        </row>
        <row r="150">
          <cell r="D150" t="str">
            <v>Phone</v>
          </cell>
          <cell r="E150">
            <v>2</v>
          </cell>
          <cell r="F150">
            <v>319.91000000000003</v>
          </cell>
          <cell r="K150">
            <v>3</v>
          </cell>
          <cell r="N150">
            <v>639.82000000000005</v>
          </cell>
        </row>
        <row r="151">
          <cell r="D151" t="str">
            <v>Laptop</v>
          </cell>
          <cell r="E151">
            <v>1</v>
          </cell>
          <cell r="F151">
            <v>217.56</v>
          </cell>
          <cell r="K151">
            <v>3</v>
          </cell>
          <cell r="N151">
            <v>217.56</v>
          </cell>
        </row>
        <row r="152">
          <cell r="D152" t="str">
            <v>Phone</v>
          </cell>
          <cell r="E152">
            <v>2</v>
          </cell>
          <cell r="F152">
            <v>105.57</v>
          </cell>
          <cell r="K152">
            <v>5</v>
          </cell>
          <cell r="N152">
            <v>211.14</v>
          </cell>
        </row>
        <row r="153">
          <cell r="D153" t="str">
            <v>Printer</v>
          </cell>
          <cell r="E153">
            <v>5</v>
          </cell>
          <cell r="F153">
            <v>444.76</v>
          </cell>
          <cell r="K153">
            <v>7</v>
          </cell>
          <cell r="N153">
            <v>2223.8000000000002</v>
          </cell>
        </row>
        <row r="154">
          <cell r="D154" t="str">
            <v>Chair</v>
          </cell>
          <cell r="E154">
            <v>2</v>
          </cell>
          <cell r="F154">
            <v>399.04</v>
          </cell>
          <cell r="K154">
            <v>3</v>
          </cell>
          <cell r="N154">
            <v>798.08</v>
          </cell>
        </row>
        <row r="155">
          <cell r="D155" t="str">
            <v>Chair</v>
          </cell>
          <cell r="E155">
            <v>4</v>
          </cell>
          <cell r="F155">
            <v>534.48</v>
          </cell>
          <cell r="K155">
            <v>9</v>
          </cell>
          <cell r="N155">
            <v>2137.92</v>
          </cell>
        </row>
        <row r="156">
          <cell r="D156" t="str">
            <v>Phone</v>
          </cell>
          <cell r="E156">
            <v>4</v>
          </cell>
          <cell r="F156">
            <v>408.21</v>
          </cell>
          <cell r="K156">
            <v>9</v>
          </cell>
          <cell r="N156">
            <v>1632.84</v>
          </cell>
        </row>
        <row r="157">
          <cell r="D157" t="str">
            <v>Phone</v>
          </cell>
          <cell r="E157">
            <v>1</v>
          </cell>
          <cell r="F157">
            <v>424.4</v>
          </cell>
          <cell r="K157">
            <v>6</v>
          </cell>
          <cell r="N157">
            <v>424.4</v>
          </cell>
        </row>
        <row r="158">
          <cell r="D158" t="str">
            <v>Chair</v>
          </cell>
          <cell r="E158">
            <v>2</v>
          </cell>
          <cell r="F158">
            <v>269.83</v>
          </cell>
          <cell r="K158">
            <v>4</v>
          </cell>
          <cell r="N158">
            <v>539.66</v>
          </cell>
        </row>
        <row r="159">
          <cell r="D159" t="str">
            <v>Monitor</v>
          </cell>
          <cell r="E159">
            <v>2</v>
          </cell>
          <cell r="F159">
            <v>564.58000000000004</v>
          </cell>
          <cell r="K159">
            <v>4</v>
          </cell>
          <cell r="N159">
            <v>1129.1600000000001</v>
          </cell>
        </row>
        <row r="160">
          <cell r="D160" t="str">
            <v>Tablet</v>
          </cell>
          <cell r="E160">
            <v>1</v>
          </cell>
          <cell r="F160">
            <v>331.06</v>
          </cell>
          <cell r="K160">
            <v>5</v>
          </cell>
          <cell r="N160">
            <v>331.06</v>
          </cell>
        </row>
        <row r="161">
          <cell r="D161" t="str">
            <v>Printer</v>
          </cell>
          <cell r="E161">
            <v>1</v>
          </cell>
          <cell r="F161">
            <v>299.35000000000002</v>
          </cell>
          <cell r="K161">
            <v>5</v>
          </cell>
          <cell r="N161">
            <v>299.35000000000002</v>
          </cell>
        </row>
        <row r="162">
          <cell r="D162" t="str">
            <v>Monitor</v>
          </cell>
          <cell r="E162">
            <v>4</v>
          </cell>
          <cell r="F162">
            <v>101.32</v>
          </cell>
          <cell r="K162">
            <v>7</v>
          </cell>
          <cell r="N162">
            <v>405.28</v>
          </cell>
        </row>
        <row r="163">
          <cell r="D163" t="str">
            <v>Monitor</v>
          </cell>
          <cell r="E163">
            <v>1</v>
          </cell>
          <cell r="F163">
            <v>211.14</v>
          </cell>
          <cell r="K163">
            <v>1</v>
          </cell>
          <cell r="N163">
            <v>211.14</v>
          </cell>
        </row>
        <row r="164">
          <cell r="D164" t="str">
            <v>Chair</v>
          </cell>
          <cell r="E164">
            <v>3</v>
          </cell>
          <cell r="F164">
            <v>65.86</v>
          </cell>
          <cell r="K164">
            <v>8</v>
          </cell>
          <cell r="N164">
            <v>197.58</v>
          </cell>
        </row>
        <row r="165">
          <cell r="D165" t="str">
            <v>Tablet</v>
          </cell>
          <cell r="E165">
            <v>1</v>
          </cell>
          <cell r="F165">
            <v>641.39</v>
          </cell>
          <cell r="K165">
            <v>1</v>
          </cell>
          <cell r="N165">
            <v>641.39</v>
          </cell>
        </row>
        <row r="166">
          <cell r="D166" t="str">
            <v>Desk</v>
          </cell>
          <cell r="E166">
            <v>5</v>
          </cell>
          <cell r="F166">
            <v>536.58000000000004</v>
          </cell>
          <cell r="K166">
            <v>5</v>
          </cell>
          <cell r="N166">
            <v>2682.9</v>
          </cell>
        </row>
        <row r="167">
          <cell r="D167" t="str">
            <v>Monitor</v>
          </cell>
          <cell r="E167">
            <v>2</v>
          </cell>
          <cell r="F167">
            <v>500.29</v>
          </cell>
          <cell r="K167">
            <v>7</v>
          </cell>
          <cell r="N167">
            <v>1000.58</v>
          </cell>
        </row>
        <row r="168">
          <cell r="D168" t="str">
            <v>Chair</v>
          </cell>
          <cell r="E168">
            <v>3</v>
          </cell>
          <cell r="F168">
            <v>86.29</v>
          </cell>
          <cell r="K168">
            <v>6</v>
          </cell>
          <cell r="N168">
            <v>258.87</v>
          </cell>
        </row>
        <row r="169">
          <cell r="D169" t="str">
            <v>Chair</v>
          </cell>
          <cell r="E169">
            <v>2</v>
          </cell>
          <cell r="F169">
            <v>384.14</v>
          </cell>
          <cell r="K169">
            <v>2</v>
          </cell>
          <cell r="N169">
            <v>768.28</v>
          </cell>
        </row>
        <row r="170">
          <cell r="D170" t="str">
            <v>Printer</v>
          </cell>
          <cell r="E170">
            <v>1</v>
          </cell>
          <cell r="F170">
            <v>594.96</v>
          </cell>
          <cell r="K170">
            <v>6</v>
          </cell>
          <cell r="N170">
            <v>594.96</v>
          </cell>
        </row>
        <row r="171">
          <cell r="D171" t="str">
            <v>Printer</v>
          </cell>
          <cell r="E171">
            <v>1</v>
          </cell>
          <cell r="F171">
            <v>427.82</v>
          </cell>
          <cell r="K171">
            <v>2</v>
          </cell>
          <cell r="N171">
            <v>427.82</v>
          </cell>
        </row>
        <row r="172">
          <cell r="D172" t="str">
            <v>Desk</v>
          </cell>
          <cell r="E172">
            <v>4</v>
          </cell>
          <cell r="F172">
            <v>662.94</v>
          </cell>
          <cell r="K172">
            <v>8</v>
          </cell>
          <cell r="N172">
            <v>2651.76</v>
          </cell>
        </row>
        <row r="173">
          <cell r="D173" t="str">
            <v>Tablet</v>
          </cell>
          <cell r="E173">
            <v>2</v>
          </cell>
          <cell r="F173">
            <v>148.22</v>
          </cell>
          <cell r="K173">
            <v>7</v>
          </cell>
          <cell r="N173">
            <v>296.44</v>
          </cell>
        </row>
        <row r="174">
          <cell r="D174" t="str">
            <v>Printer</v>
          </cell>
          <cell r="E174">
            <v>1</v>
          </cell>
          <cell r="F174">
            <v>254.12</v>
          </cell>
          <cell r="K174">
            <v>1</v>
          </cell>
          <cell r="N174">
            <v>254.12</v>
          </cell>
        </row>
        <row r="175">
          <cell r="D175" t="str">
            <v>Phone</v>
          </cell>
          <cell r="E175">
            <v>3</v>
          </cell>
          <cell r="F175">
            <v>664.46</v>
          </cell>
          <cell r="K175">
            <v>4</v>
          </cell>
          <cell r="N175">
            <v>1993.38</v>
          </cell>
        </row>
        <row r="176">
          <cell r="D176" t="str">
            <v>Printer</v>
          </cell>
          <cell r="E176">
            <v>4</v>
          </cell>
          <cell r="F176">
            <v>600.80999999999995</v>
          </cell>
          <cell r="K176">
            <v>9</v>
          </cell>
          <cell r="N176">
            <v>2403.2399999999998</v>
          </cell>
        </row>
        <row r="177">
          <cell r="D177" t="str">
            <v>Chair</v>
          </cell>
          <cell r="E177">
            <v>5</v>
          </cell>
          <cell r="F177">
            <v>68.34</v>
          </cell>
          <cell r="K177">
            <v>6</v>
          </cell>
          <cell r="N177">
            <v>341.7</v>
          </cell>
        </row>
        <row r="178">
          <cell r="D178" t="str">
            <v>Tablet</v>
          </cell>
          <cell r="E178">
            <v>4</v>
          </cell>
          <cell r="F178">
            <v>430.83</v>
          </cell>
          <cell r="K178">
            <v>8</v>
          </cell>
          <cell r="N178">
            <v>1723.32</v>
          </cell>
        </row>
        <row r="179">
          <cell r="D179" t="str">
            <v>Chair</v>
          </cell>
          <cell r="E179">
            <v>5</v>
          </cell>
          <cell r="F179">
            <v>431.69</v>
          </cell>
          <cell r="K179">
            <v>10</v>
          </cell>
          <cell r="N179">
            <v>2158.4499999999998</v>
          </cell>
        </row>
        <row r="180">
          <cell r="D180" t="str">
            <v>Chair</v>
          </cell>
          <cell r="E180">
            <v>4</v>
          </cell>
          <cell r="F180">
            <v>512.05999999999995</v>
          </cell>
          <cell r="K180">
            <v>5</v>
          </cell>
          <cell r="N180">
            <v>2048.2399999999998</v>
          </cell>
        </row>
        <row r="181">
          <cell r="D181" t="str">
            <v>Laptop</v>
          </cell>
          <cell r="E181">
            <v>3</v>
          </cell>
          <cell r="F181">
            <v>539.91</v>
          </cell>
          <cell r="K181">
            <v>8</v>
          </cell>
          <cell r="N181">
            <v>1619.73</v>
          </cell>
        </row>
        <row r="182">
          <cell r="D182" t="str">
            <v>Tablet</v>
          </cell>
          <cell r="E182">
            <v>5</v>
          </cell>
          <cell r="F182">
            <v>316.07</v>
          </cell>
          <cell r="K182">
            <v>10</v>
          </cell>
          <cell r="N182">
            <v>1580.35</v>
          </cell>
        </row>
        <row r="183">
          <cell r="D183" t="str">
            <v>Printer</v>
          </cell>
          <cell r="E183">
            <v>5</v>
          </cell>
          <cell r="F183">
            <v>404.39</v>
          </cell>
          <cell r="K183">
            <v>10</v>
          </cell>
          <cell r="N183">
            <v>2021.95</v>
          </cell>
        </row>
        <row r="184">
          <cell r="D184" t="str">
            <v>Desk</v>
          </cell>
          <cell r="E184">
            <v>1</v>
          </cell>
          <cell r="F184">
            <v>600.54</v>
          </cell>
          <cell r="K184">
            <v>4</v>
          </cell>
          <cell r="N184">
            <v>600.54</v>
          </cell>
        </row>
        <row r="185">
          <cell r="D185" t="str">
            <v>Monitor</v>
          </cell>
          <cell r="E185">
            <v>5</v>
          </cell>
          <cell r="F185">
            <v>186.28</v>
          </cell>
          <cell r="K185">
            <v>8</v>
          </cell>
          <cell r="N185">
            <v>931.4</v>
          </cell>
        </row>
        <row r="186">
          <cell r="D186" t="str">
            <v>Tablet</v>
          </cell>
          <cell r="E186">
            <v>4</v>
          </cell>
          <cell r="F186">
            <v>214.54</v>
          </cell>
          <cell r="K186">
            <v>7</v>
          </cell>
          <cell r="N186">
            <v>858.16</v>
          </cell>
        </row>
        <row r="187">
          <cell r="D187" t="str">
            <v>Laptop</v>
          </cell>
          <cell r="E187">
            <v>1</v>
          </cell>
          <cell r="F187">
            <v>210.7</v>
          </cell>
          <cell r="K187">
            <v>2</v>
          </cell>
          <cell r="N187">
            <v>210.7</v>
          </cell>
        </row>
        <row r="188">
          <cell r="D188" t="str">
            <v>Phone</v>
          </cell>
          <cell r="E188">
            <v>2</v>
          </cell>
          <cell r="F188">
            <v>133.55000000000001</v>
          </cell>
          <cell r="K188">
            <v>7</v>
          </cell>
          <cell r="N188">
            <v>267.10000000000002</v>
          </cell>
        </row>
        <row r="189">
          <cell r="D189" t="str">
            <v>Chair</v>
          </cell>
          <cell r="E189">
            <v>1</v>
          </cell>
          <cell r="F189">
            <v>590.87</v>
          </cell>
          <cell r="K189">
            <v>6</v>
          </cell>
          <cell r="N189">
            <v>590.87</v>
          </cell>
        </row>
        <row r="190">
          <cell r="D190" t="str">
            <v>Chair</v>
          </cell>
          <cell r="E190">
            <v>2</v>
          </cell>
          <cell r="F190">
            <v>363.91</v>
          </cell>
          <cell r="K190">
            <v>2</v>
          </cell>
          <cell r="N190">
            <v>727.82</v>
          </cell>
        </row>
        <row r="191">
          <cell r="D191" t="str">
            <v>Printer</v>
          </cell>
          <cell r="E191">
            <v>5</v>
          </cell>
          <cell r="F191">
            <v>429.45</v>
          </cell>
          <cell r="K191">
            <v>5</v>
          </cell>
          <cell r="N191">
            <v>2147.25</v>
          </cell>
        </row>
        <row r="192">
          <cell r="D192" t="str">
            <v>Printer</v>
          </cell>
          <cell r="E192">
            <v>3</v>
          </cell>
          <cell r="F192">
            <v>223.7</v>
          </cell>
          <cell r="K192">
            <v>3</v>
          </cell>
          <cell r="N192">
            <v>671.1</v>
          </cell>
        </row>
        <row r="193">
          <cell r="D193" t="str">
            <v>Laptop</v>
          </cell>
          <cell r="E193">
            <v>2</v>
          </cell>
          <cell r="F193">
            <v>488.87</v>
          </cell>
          <cell r="K193">
            <v>4</v>
          </cell>
          <cell r="N193">
            <v>977.74</v>
          </cell>
        </row>
        <row r="194">
          <cell r="D194" t="str">
            <v>Desk</v>
          </cell>
          <cell r="E194">
            <v>1</v>
          </cell>
          <cell r="F194">
            <v>645.46</v>
          </cell>
          <cell r="K194">
            <v>5</v>
          </cell>
          <cell r="N194">
            <v>645.46</v>
          </cell>
        </row>
        <row r="195">
          <cell r="D195" t="str">
            <v>Printer</v>
          </cell>
          <cell r="E195">
            <v>1</v>
          </cell>
          <cell r="F195">
            <v>46.66</v>
          </cell>
          <cell r="K195">
            <v>6</v>
          </cell>
          <cell r="N195">
            <v>46.66</v>
          </cell>
        </row>
        <row r="196">
          <cell r="D196" t="str">
            <v>Monitor</v>
          </cell>
          <cell r="E196">
            <v>1</v>
          </cell>
          <cell r="F196">
            <v>249.57</v>
          </cell>
          <cell r="K196">
            <v>3</v>
          </cell>
          <cell r="N196">
            <v>249.57</v>
          </cell>
        </row>
        <row r="197">
          <cell r="D197" t="str">
            <v>Chair</v>
          </cell>
          <cell r="E197">
            <v>3</v>
          </cell>
          <cell r="F197">
            <v>619.21</v>
          </cell>
          <cell r="K197">
            <v>6</v>
          </cell>
          <cell r="N197">
            <v>1857.63</v>
          </cell>
        </row>
        <row r="198">
          <cell r="D198" t="str">
            <v>Desk</v>
          </cell>
          <cell r="E198">
            <v>4</v>
          </cell>
          <cell r="F198">
            <v>217.13</v>
          </cell>
          <cell r="K198">
            <v>8</v>
          </cell>
          <cell r="N198">
            <v>868.52</v>
          </cell>
        </row>
        <row r="199">
          <cell r="D199" t="str">
            <v>Laptop</v>
          </cell>
          <cell r="E199">
            <v>5</v>
          </cell>
          <cell r="F199">
            <v>221.51</v>
          </cell>
          <cell r="K199">
            <v>5</v>
          </cell>
          <cell r="N199">
            <v>1107.55</v>
          </cell>
        </row>
        <row r="200">
          <cell r="D200" t="str">
            <v>Laptop</v>
          </cell>
          <cell r="E200">
            <v>4</v>
          </cell>
          <cell r="F200">
            <v>340.3</v>
          </cell>
          <cell r="K200">
            <v>8</v>
          </cell>
          <cell r="N200">
            <v>1361.2</v>
          </cell>
        </row>
        <row r="201">
          <cell r="D201" t="str">
            <v>Phone</v>
          </cell>
          <cell r="E201">
            <v>1</v>
          </cell>
          <cell r="F201">
            <v>625</v>
          </cell>
          <cell r="K201">
            <v>5</v>
          </cell>
          <cell r="N201">
            <v>625</v>
          </cell>
        </row>
        <row r="202">
          <cell r="D202" t="str">
            <v>Tablet</v>
          </cell>
          <cell r="E202">
            <v>5</v>
          </cell>
          <cell r="F202">
            <v>433.26</v>
          </cell>
          <cell r="K202">
            <v>9</v>
          </cell>
          <cell r="N202">
            <v>2166.3000000000002</v>
          </cell>
        </row>
        <row r="203">
          <cell r="D203" t="str">
            <v>Monitor</v>
          </cell>
          <cell r="E203">
            <v>2</v>
          </cell>
          <cell r="F203">
            <v>674.9</v>
          </cell>
          <cell r="K203">
            <v>4</v>
          </cell>
          <cell r="N203">
            <v>1349.8</v>
          </cell>
        </row>
        <row r="204">
          <cell r="D204" t="str">
            <v>Monitor</v>
          </cell>
          <cell r="E204">
            <v>3</v>
          </cell>
          <cell r="F204">
            <v>253.98</v>
          </cell>
          <cell r="K204">
            <v>3</v>
          </cell>
          <cell r="N204">
            <v>761.94</v>
          </cell>
        </row>
        <row r="205">
          <cell r="D205" t="str">
            <v>Printer</v>
          </cell>
          <cell r="E205">
            <v>3</v>
          </cell>
          <cell r="F205">
            <v>356.84</v>
          </cell>
          <cell r="K205">
            <v>5</v>
          </cell>
          <cell r="N205">
            <v>1070.52</v>
          </cell>
        </row>
        <row r="206">
          <cell r="D206" t="str">
            <v>Laptop</v>
          </cell>
          <cell r="E206">
            <v>4</v>
          </cell>
          <cell r="F206">
            <v>413.71</v>
          </cell>
          <cell r="K206">
            <v>9</v>
          </cell>
          <cell r="N206">
            <v>1654.84</v>
          </cell>
        </row>
        <row r="207">
          <cell r="D207" t="str">
            <v>Desk</v>
          </cell>
          <cell r="E207">
            <v>3</v>
          </cell>
          <cell r="F207">
            <v>147.38999999999999</v>
          </cell>
          <cell r="K207">
            <v>3</v>
          </cell>
          <cell r="N207">
            <v>442.17</v>
          </cell>
        </row>
        <row r="208">
          <cell r="D208" t="str">
            <v>Laptop</v>
          </cell>
          <cell r="E208">
            <v>4</v>
          </cell>
          <cell r="F208">
            <v>229.1</v>
          </cell>
          <cell r="K208">
            <v>8</v>
          </cell>
          <cell r="N208">
            <v>916.4</v>
          </cell>
        </row>
        <row r="209">
          <cell r="D209" t="str">
            <v>Phone</v>
          </cell>
          <cell r="E209">
            <v>1</v>
          </cell>
          <cell r="F209">
            <v>121.96</v>
          </cell>
          <cell r="K209">
            <v>3</v>
          </cell>
          <cell r="N209">
            <v>121.96</v>
          </cell>
        </row>
        <row r="210">
          <cell r="D210" t="str">
            <v>Desk</v>
          </cell>
          <cell r="E210">
            <v>2</v>
          </cell>
          <cell r="F210">
            <v>408.32</v>
          </cell>
          <cell r="K210">
            <v>3</v>
          </cell>
          <cell r="N210">
            <v>816.64</v>
          </cell>
        </row>
        <row r="211">
          <cell r="D211" t="str">
            <v>Tablet</v>
          </cell>
          <cell r="E211">
            <v>5</v>
          </cell>
          <cell r="F211">
            <v>187.97</v>
          </cell>
          <cell r="K211">
            <v>9</v>
          </cell>
          <cell r="N211">
            <v>939.85</v>
          </cell>
        </row>
        <row r="212">
          <cell r="D212" t="str">
            <v>Chair</v>
          </cell>
          <cell r="E212">
            <v>3</v>
          </cell>
          <cell r="F212">
            <v>358.48</v>
          </cell>
          <cell r="K212">
            <v>7</v>
          </cell>
          <cell r="N212">
            <v>1075.44</v>
          </cell>
        </row>
        <row r="213">
          <cell r="D213" t="str">
            <v>Printer</v>
          </cell>
          <cell r="E213">
            <v>3</v>
          </cell>
          <cell r="F213">
            <v>193.58</v>
          </cell>
          <cell r="K213">
            <v>7</v>
          </cell>
          <cell r="N213">
            <v>580.74</v>
          </cell>
        </row>
        <row r="214">
          <cell r="D214" t="str">
            <v>Monitor</v>
          </cell>
          <cell r="E214">
            <v>1</v>
          </cell>
          <cell r="F214">
            <v>265.38</v>
          </cell>
          <cell r="K214">
            <v>6</v>
          </cell>
          <cell r="N214">
            <v>265.38</v>
          </cell>
        </row>
        <row r="215">
          <cell r="D215" t="str">
            <v>Laptop</v>
          </cell>
          <cell r="E215">
            <v>1</v>
          </cell>
          <cell r="F215">
            <v>634.4</v>
          </cell>
          <cell r="K215">
            <v>6</v>
          </cell>
          <cell r="N215">
            <v>634.4</v>
          </cell>
        </row>
        <row r="216">
          <cell r="D216" t="str">
            <v>Desk</v>
          </cell>
          <cell r="E216">
            <v>4</v>
          </cell>
          <cell r="F216">
            <v>305.72000000000003</v>
          </cell>
          <cell r="K216">
            <v>5</v>
          </cell>
          <cell r="N216">
            <v>1222.8800000000001</v>
          </cell>
        </row>
        <row r="217">
          <cell r="D217" t="str">
            <v>Printer</v>
          </cell>
          <cell r="E217">
            <v>1</v>
          </cell>
          <cell r="F217">
            <v>303.60000000000002</v>
          </cell>
          <cell r="K217">
            <v>5</v>
          </cell>
          <cell r="N217">
            <v>303.60000000000002</v>
          </cell>
        </row>
        <row r="218">
          <cell r="D218" t="str">
            <v>Monitor</v>
          </cell>
          <cell r="E218">
            <v>4</v>
          </cell>
          <cell r="F218">
            <v>496</v>
          </cell>
          <cell r="K218">
            <v>8</v>
          </cell>
          <cell r="N218">
            <v>1984</v>
          </cell>
        </row>
        <row r="219">
          <cell r="D219" t="str">
            <v>Desk</v>
          </cell>
          <cell r="E219">
            <v>4</v>
          </cell>
          <cell r="F219">
            <v>321.51</v>
          </cell>
          <cell r="K219">
            <v>9</v>
          </cell>
          <cell r="N219">
            <v>1286.04</v>
          </cell>
        </row>
        <row r="220">
          <cell r="D220" t="str">
            <v>Tablet</v>
          </cell>
          <cell r="E220">
            <v>3</v>
          </cell>
          <cell r="F220">
            <v>112.46</v>
          </cell>
          <cell r="K220">
            <v>6</v>
          </cell>
          <cell r="N220">
            <v>337.38</v>
          </cell>
        </row>
        <row r="221">
          <cell r="D221" t="str">
            <v>Laptop</v>
          </cell>
          <cell r="E221">
            <v>5</v>
          </cell>
          <cell r="F221">
            <v>61.97</v>
          </cell>
          <cell r="K221">
            <v>6</v>
          </cell>
          <cell r="N221">
            <v>309.85000000000002</v>
          </cell>
        </row>
        <row r="222">
          <cell r="D222" t="str">
            <v>Laptop</v>
          </cell>
          <cell r="E222">
            <v>2</v>
          </cell>
          <cell r="F222">
            <v>373.17</v>
          </cell>
          <cell r="K222">
            <v>6</v>
          </cell>
          <cell r="N222">
            <v>746.34</v>
          </cell>
        </row>
        <row r="223">
          <cell r="D223" t="str">
            <v>Tablet</v>
          </cell>
          <cell r="E223">
            <v>5</v>
          </cell>
          <cell r="F223">
            <v>639.37</v>
          </cell>
          <cell r="K223">
            <v>6</v>
          </cell>
          <cell r="N223">
            <v>3196.85</v>
          </cell>
        </row>
        <row r="224">
          <cell r="D224" t="str">
            <v>Chair</v>
          </cell>
          <cell r="E224">
            <v>4</v>
          </cell>
          <cell r="F224">
            <v>693.36</v>
          </cell>
          <cell r="K224">
            <v>8</v>
          </cell>
          <cell r="N224">
            <v>2773.44</v>
          </cell>
        </row>
        <row r="225">
          <cell r="D225" t="str">
            <v>Phone</v>
          </cell>
          <cell r="E225">
            <v>4</v>
          </cell>
          <cell r="F225">
            <v>692.91</v>
          </cell>
          <cell r="K225">
            <v>9</v>
          </cell>
          <cell r="N225">
            <v>2771.64</v>
          </cell>
        </row>
        <row r="226">
          <cell r="D226" t="str">
            <v>Printer</v>
          </cell>
          <cell r="E226">
            <v>4</v>
          </cell>
          <cell r="F226">
            <v>91.46</v>
          </cell>
          <cell r="K226">
            <v>9</v>
          </cell>
          <cell r="N226">
            <v>365.84</v>
          </cell>
        </row>
        <row r="227">
          <cell r="D227" t="str">
            <v>Phone</v>
          </cell>
          <cell r="E227">
            <v>3</v>
          </cell>
          <cell r="F227">
            <v>273.95999999999998</v>
          </cell>
          <cell r="K227">
            <v>8</v>
          </cell>
          <cell r="N227">
            <v>821.88</v>
          </cell>
        </row>
        <row r="228">
          <cell r="D228" t="str">
            <v>Desk</v>
          </cell>
          <cell r="E228">
            <v>3</v>
          </cell>
          <cell r="F228">
            <v>588.04999999999995</v>
          </cell>
          <cell r="K228">
            <v>8</v>
          </cell>
          <cell r="N228">
            <v>1764.15</v>
          </cell>
        </row>
        <row r="229">
          <cell r="D229" t="str">
            <v>Monitor</v>
          </cell>
          <cell r="E229">
            <v>2</v>
          </cell>
          <cell r="F229">
            <v>365.17</v>
          </cell>
          <cell r="K229">
            <v>4</v>
          </cell>
          <cell r="N229">
            <v>730.34</v>
          </cell>
        </row>
        <row r="230">
          <cell r="D230" t="str">
            <v>Chair</v>
          </cell>
          <cell r="E230">
            <v>4</v>
          </cell>
          <cell r="F230">
            <v>385.92</v>
          </cell>
          <cell r="K230">
            <v>8</v>
          </cell>
          <cell r="N230">
            <v>1543.68</v>
          </cell>
        </row>
        <row r="231">
          <cell r="D231" t="str">
            <v>Tablet</v>
          </cell>
          <cell r="E231">
            <v>1</v>
          </cell>
          <cell r="F231">
            <v>562.61</v>
          </cell>
          <cell r="K231">
            <v>3</v>
          </cell>
          <cell r="N231">
            <v>562.61</v>
          </cell>
        </row>
        <row r="232">
          <cell r="D232" t="str">
            <v>Desk</v>
          </cell>
          <cell r="E232">
            <v>4</v>
          </cell>
          <cell r="F232">
            <v>61.91</v>
          </cell>
          <cell r="K232">
            <v>6</v>
          </cell>
          <cell r="N232">
            <v>247.64</v>
          </cell>
        </row>
        <row r="233">
          <cell r="D233" t="str">
            <v>Phone</v>
          </cell>
          <cell r="E233">
            <v>4</v>
          </cell>
          <cell r="F233">
            <v>41.9</v>
          </cell>
          <cell r="K233">
            <v>9</v>
          </cell>
          <cell r="N233">
            <v>167.6</v>
          </cell>
        </row>
        <row r="234">
          <cell r="D234" t="str">
            <v>Printer</v>
          </cell>
          <cell r="E234">
            <v>4</v>
          </cell>
          <cell r="F234">
            <v>444.44</v>
          </cell>
          <cell r="K234">
            <v>8</v>
          </cell>
          <cell r="N234">
            <v>1777.76</v>
          </cell>
        </row>
        <row r="235">
          <cell r="D235" t="str">
            <v>Phone</v>
          </cell>
          <cell r="E235">
            <v>3</v>
          </cell>
          <cell r="F235">
            <v>311.33</v>
          </cell>
          <cell r="K235">
            <v>3</v>
          </cell>
          <cell r="N235">
            <v>933.99</v>
          </cell>
        </row>
        <row r="236">
          <cell r="D236" t="str">
            <v>Printer</v>
          </cell>
          <cell r="E236">
            <v>4</v>
          </cell>
          <cell r="F236">
            <v>236.41</v>
          </cell>
          <cell r="K236">
            <v>7</v>
          </cell>
          <cell r="N236">
            <v>945.64</v>
          </cell>
        </row>
        <row r="237">
          <cell r="D237" t="str">
            <v>Desk</v>
          </cell>
          <cell r="E237">
            <v>1</v>
          </cell>
          <cell r="F237">
            <v>65.45</v>
          </cell>
          <cell r="K237">
            <v>2</v>
          </cell>
          <cell r="N237">
            <v>65.45</v>
          </cell>
        </row>
        <row r="238">
          <cell r="D238" t="str">
            <v>Monitor</v>
          </cell>
          <cell r="E238">
            <v>1</v>
          </cell>
          <cell r="F238">
            <v>318.81</v>
          </cell>
          <cell r="K238">
            <v>3</v>
          </cell>
          <cell r="N238">
            <v>318.81</v>
          </cell>
        </row>
        <row r="239">
          <cell r="D239" t="str">
            <v>Monitor</v>
          </cell>
          <cell r="E239">
            <v>3</v>
          </cell>
          <cell r="F239">
            <v>583.72</v>
          </cell>
          <cell r="K239">
            <v>5</v>
          </cell>
          <cell r="N239">
            <v>1751.16</v>
          </cell>
        </row>
        <row r="240">
          <cell r="D240" t="str">
            <v>Desk</v>
          </cell>
          <cell r="E240">
            <v>4</v>
          </cell>
          <cell r="F240">
            <v>384.32</v>
          </cell>
          <cell r="K240">
            <v>6</v>
          </cell>
          <cell r="N240">
            <v>1537.28</v>
          </cell>
        </row>
        <row r="241">
          <cell r="D241" t="str">
            <v>Tablet</v>
          </cell>
          <cell r="E241">
            <v>3</v>
          </cell>
          <cell r="F241">
            <v>538.74</v>
          </cell>
          <cell r="K241">
            <v>6</v>
          </cell>
          <cell r="N241">
            <v>1616.22</v>
          </cell>
        </row>
        <row r="242">
          <cell r="D242" t="str">
            <v>Tablet</v>
          </cell>
          <cell r="E242">
            <v>1</v>
          </cell>
          <cell r="F242">
            <v>17.239999999999998</v>
          </cell>
          <cell r="K242">
            <v>2</v>
          </cell>
          <cell r="N242">
            <v>17.239999999999998</v>
          </cell>
        </row>
        <row r="243">
          <cell r="D243" t="str">
            <v>Chair</v>
          </cell>
          <cell r="E243">
            <v>5</v>
          </cell>
          <cell r="F243">
            <v>615.66999999999996</v>
          </cell>
          <cell r="K243">
            <v>6</v>
          </cell>
          <cell r="N243">
            <v>3078.35</v>
          </cell>
        </row>
        <row r="244">
          <cell r="D244" t="str">
            <v>Printer</v>
          </cell>
          <cell r="E244">
            <v>2</v>
          </cell>
          <cell r="F244">
            <v>219.1</v>
          </cell>
          <cell r="K244">
            <v>4</v>
          </cell>
          <cell r="N244">
            <v>438.2</v>
          </cell>
        </row>
        <row r="245">
          <cell r="D245" t="str">
            <v>Chair</v>
          </cell>
          <cell r="E245">
            <v>2</v>
          </cell>
          <cell r="F245">
            <v>144.66</v>
          </cell>
          <cell r="K245">
            <v>7</v>
          </cell>
          <cell r="N245">
            <v>289.32</v>
          </cell>
        </row>
        <row r="246">
          <cell r="D246" t="str">
            <v>Desk</v>
          </cell>
          <cell r="E246">
            <v>2</v>
          </cell>
          <cell r="F246">
            <v>317.77</v>
          </cell>
          <cell r="K246">
            <v>4</v>
          </cell>
          <cell r="N246">
            <v>635.54</v>
          </cell>
        </row>
        <row r="247">
          <cell r="D247" t="str">
            <v>Laptop</v>
          </cell>
          <cell r="E247">
            <v>1</v>
          </cell>
          <cell r="F247">
            <v>223.3</v>
          </cell>
          <cell r="K247">
            <v>1</v>
          </cell>
          <cell r="N247">
            <v>223.3</v>
          </cell>
        </row>
        <row r="248">
          <cell r="D248" t="str">
            <v>Desk</v>
          </cell>
          <cell r="E248">
            <v>2</v>
          </cell>
          <cell r="F248">
            <v>342.11</v>
          </cell>
          <cell r="K248">
            <v>2</v>
          </cell>
          <cell r="N248">
            <v>684.22</v>
          </cell>
        </row>
        <row r="249">
          <cell r="D249" t="str">
            <v>Printer</v>
          </cell>
          <cell r="E249">
            <v>2</v>
          </cell>
          <cell r="F249">
            <v>220.9</v>
          </cell>
          <cell r="K249">
            <v>4</v>
          </cell>
          <cell r="N249">
            <v>441.8</v>
          </cell>
        </row>
        <row r="250">
          <cell r="D250" t="str">
            <v>Laptop</v>
          </cell>
          <cell r="E250">
            <v>1</v>
          </cell>
          <cell r="F250">
            <v>670.54</v>
          </cell>
          <cell r="K250">
            <v>6</v>
          </cell>
          <cell r="N250">
            <v>670.54</v>
          </cell>
        </row>
        <row r="251">
          <cell r="D251" t="str">
            <v>Printer</v>
          </cell>
          <cell r="E251">
            <v>1</v>
          </cell>
          <cell r="F251">
            <v>546.19000000000005</v>
          </cell>
          <cell r="K251">
            <v>5</v>
          </cell>
          <cell r="N251">
            <v>546.19000000000005</v>
          </cell>
        </row>
        <row r="252">
          <cell r="D252" t="str">
            <v>Desk</v>
          </cell>
          <cell r="E252">
            <v>3</v>
          </cell>
          <cell r="F252">
            <v>42.95</v>
          </cell>
          <cell r="K252">
            <v>8</v>
          </cell>
          <cell r="N252">
            <v>128.85</v>
          </cell>
        </row>
        <row r="253">
          <cell r="D253" t="str">
            <v>Monitor</v>
          </cell>
          <cell r="E253">
            <v>4</v>
          </cell>
          <cell r="F253">
            <v>14.69</v>
          </cell>
          <cell r="K253">
            <v>9</v>
          </cell>
          <cell r="N253">
            <v>58.76</v>
          </cell>
        </row>
        <row r="254">
          <cell r="D254" t="str">
            <v>Phone</v>
          </cell>
          <cell r="E254">
            <v>4</v>
          </cell>
          <cell r="F254">
            <v>668.36</v>
          </cell>
          <cell r="K254">
            <v>5</v>
          </cell>
          <cell r="N254">
            <v>2673.44</v>
          </cell>
        </row>
        <row r="255">
          <cell r="D255" t="str">
            <v>Chair</v>
          </cell>
          <cell r="E255">
            <v>4</v>
          </cell>
          <cell r="F255">
            <v>413.74</v>
          </cell>
          <cell r="K255">
            <v>7</v>
          </cell>
          <cell r="N255">
            <v>1654.96</v>
          </cell>
        </row>
        <row r="256">
          <cell r="D256" t="str">
            <v>Monitor</v>
          </cell>
          <cell r="E256">
            <v>3</v>
          </cell>
          <cell r="F256">
            <v>263.19</v>
          </cell>
          <cell r="K256">
            <v>5</v>
          </cell>
          <cell r="N256">
            <v>789.57</v>
          </cell>
        </row>
        <row r="257">
          <cell r="D257" t="str">
            <v>Monitor</v>
          </cell>
          <cell r="E257">
            <v>1</v>
          </cell>
          <cell r="F257">
            <v>263.95999999999998</v>
          </cell>
          <cell r="K257">
            <v>2</v>
          </cell>
          <cell r="N257">
            <v>263.95999999999998</v>
          </cell>
        </row>
        <row r="258">
          <cell r="D258" t="str">
            <v>Chair</v>
          </cell>
          <cell r="E258">
            <v>5</v>
          </cell>
          <cell r="F258">
            <v>75.81</v>
          </cell>
          <cell r="K258">
            <v>10</v>
          </cell>
          <cell r="N258">
            <v>379.05</v>
          </cell>
        </row>
        <row r="259">
          <cell r="D259" t="str">
            <v>Phone</v>
          </cell>
          <cell r="E259">
            <v>1</v>
          </cell>
          <cell r="F259">
            <v>406.22</v>
          </cell>
          <cell r="K259">
            <v>5</v>
          </cell>
          <cell r="N259">
            <v>406.22</v>
          </cell>
        </row>
        <row r="260">
          <cell r="D260" t="str">
            <v>Tablet</v>
          </cell>
          <cell r="E260">
            <v>2</v>
          </cell>
          <cell r="F260">
            <v>103.41</v>
          </cell>
          <cell r="K260">
            <v>2</v>
          </cell>
          <cell r="N260">
            <v>206.82</v>
          </cell>
        </row>
        <row r="261">
          <cell r="D261" t="str">
            <v>Chair</v>
          </cell>
          <cell r="E261">
            <v>4</v>
          </cell>
          <cell r="F261">
            <v>435.12</v>
          </cell>
          <cell r="K261">
            <v>9</v>
          </cell>
          <cell r="N261">
            <v>1740.48</v>
          </cell>
        </row>
        <row r="262">
          <cell r="D262" t="str">
            <v>Monitor</v>
          </cell>
          <cell r="E262">
            <v>2</v>
          </cell>
          <cell r="F262">
            <v>407.79</v>
          </cell>
          <cell r="K262">
            <v>3</v>
          </cell>
          <cell r="N262">
            <v>815.58</v>
          </cell>
        </row>
        <row r="263">
          <cell r="D263" t="str">
            <v>Phone</v>
          </cell>
          <cell r="E263">
            <v>5</v>
          </cell>
          <cell r="F263">
            <v>173.65</v>
          </cell>
          <cell r="K263">
            <v>9</v>
          </cell>
          <cell r="N263">
            <v>868.25</v>
          </cell>
        </row>
        <row r="264">
          <cell r="D264" t="str">
            <v>Phone</v>
          </cell>
          <cell r="E264">
            <v>4</v>
          </cell>
          <cell r="F264">
            <v>249.07</v>
          </cell>
          <cell r="K264">
            <v>5</v>
          </cell>
          <cell r="N264">
            <v>996.28</v>
          </cell>
        </row>
        <row r="265">
          <cell r="D265" t="str">
            <v>Phone</v>
          </cell>
          <cell r="E265">
            <v>4</v>
          </cell>
          <cell r="F265">
            <v>434.85</v>
          </cell>
          <cell r="K265">
            <v>4</v>
          </cell>
          <cell r="N265">
            <v>1739.4</v>
          </cell>
        </row>
        <row r="266">
          <cell r="D266" t="str">
            <v>Tablet</v>
          </cell>
          <cell r="E266">
            <v>1</v>
          </cell>
          <cell r="F266">
            <v>436.77</v>
          </cell>
          <cell r="K266">
            <v>5</v>
          </cell>
          <cell r="N266">
            <v>436.77</v>
          </cell>
        </row>
        <row r="267">
          <cell r="D267" t="str">
            <v>Printer</v>
          </cell>
          <cell r="E267">
            <v>1</v>
          </cell>
          <cell r="F267">
            <v>572.13</v>
          </cell>
          <cell r="K267">
            <v>4</v>
          </cell>
          <cell r="N267">
            <v>572.13</v>
          </cell>
        </row>
        <row r="268">
          <cell r="D268" t="str">
            <v>Chair</v>
          </cell>
          <cell r="E268">
            <v>4</v>
          </cell>
          <cell r="F268">
            <v>583.07000000000005</v>
          </cell>
          <cell r="K268">
            <v>6</v>
          </cell>
          <cell r="N268">
            <v>2332.2800000000002</v>
          </cell>
        </row>
        <row r="269">
          <cell r="D269" t="str">
            <v>Chair</v>
          </cell>
          <cell r="E269">
            <v>5</v>
          </cell>
          <cell r="F269">
            <v>468.51</v>
          </cell>
          <cell r="K269">
            <v>9</v>
          </cell>
          <cell r="N269">
            <v>2342.5500000000002</v>
          </cell>
        </row>
        <row r="270">
          <cell r="D270" t="str">
            <v>Phone</v>
          </cell>
          <cell r="E270">
            <v>2</v>
          </cell>
          <cell r="F270">
            <v>423.88</v>
          </cell>
          <cell r="K270">
            <v>7</v>
          </cell>
          <cell r="N270">
            <v>847.76</v>
          </cell>
        </row>
        <row r="271">
          <cell r="D271" t="str">
            <v>Tablet</v>
          </cell>
          <cell r="E271">
            <v>4</v>
          </cell>
          <cell r="F271">
            <v>663.67</v>
          </cell>
          <cell r="K271">
            <v>7</v>
          </cell>
          <cell r="N271">
            <v>2654.68</v>
          </cell>
        </row>
        <row r="272">
          <cell r="D272" t="str">
            <v>Printer</v>
          </cell>
          <cell r="E272">
            <v>4</v>
          </cell>
          <cell r="F272">
            <v>309.91000000000003</v>
          </cell>
          <cell r="K272">
            <v>5</v>
          </cell>
          <cell r="N272">
            <v>1239.6400000000001</v>
          </cell>
        </row>
        <row r="273">
          <cell r="D273" t="str">
            <v>Monitor</v>
          </cell>
          <cell r="E273">
            <v>1</v>
          </cell>
          <cell r="F273">
            <v>542.07000000000005</v>
          </cell>
          <cell r="K273">
            <v>6</v>
          </cell>
          <cell r="N273">
            <v>542.07000000000005</v>
          </cell>
        </row>
        <row r="274">
          <cell r="D274" t="str">
            <v>Chair</v>
          </cell>
          <cell r="E274">
            <v>2</v>
          </cell>
          <cell r="F274">
            <v>399.32</v>
          </cell>
          <cell r="K274">
            <v>6</v>
          </cell>
          <cell r="N274">
            <v>798.64</v>
          </cell>
        </row>
        <row r="275">
          <cell r="D275" t="str">
            <v>Tablet</v>
          </cell>
          <cell r="E275">
            <v>2</v>
          </cell>
          <cell r="F275">
            <v>238.25</v>
          </cell>
          <cell r="K275">
            <v>7</v>
          </cell>
          <cell r="N275">
            <v>476.5</v>
          </cell>
        </row>
        <row r="276">
          <cell r="D276" t="str">
            <v>Phone</v>
          </cell>
          <cell r="E276">
            <v>2</v>
          </cell>
          <cell r="F276">
            <v>182.4</v>
          </cell>
          <cell r="K276">
            <v>5</v>
          </cell>
          <cell r="N276">
            <v>364.8</v>
          </cell>
        </row>
        <row r="277">
          <cell r="D277" t="str">
            <v>Chair</v>
          </cell>
          <cell r="E277">
            <v>2</v>
          </cell>
          <cell r="F277">
            <v>65.069999999999993</v>
          </cell>
          <cell r="K277">
            <v>4</v>
          </cell>
          <cell r="N277">
            <v>130.13999999999999</v>
          </cell>
        </row>
        <row r="278">
          <cell r="D278" t="str">
            <v>Printer</v>
          </cell>
          <cell r="E278">
            <v>2</v>
          </cell>
          <cell r="F278">
            <v>600.57000000000005</v>
          </cell>
          <cell r="K278">
            <v>3</v>
          </cell>
          <cell r="N278">
            <v>1201.1400000000001</v>
          </cell>
        </row>
        <row r="279">
          <cell r="D279" t="str">
            <v>Chair</v>
          </cell>
          <cell r="E279">
            <v>5</v>
          </cell>
          <cell r="F279">
            <v>90.92</v>
          </cell>
          <cell r="K279">
            <v>9</v>
          </cell>
          <cell r="N279">
            <v>454.6</v>
          </cell>
        </row>
        <row r="280">
          <cell r="D280" t="str">
            <v>Laptop</v>
          </cell>
          <cell r="E280">
            <v>5</v>
          </cell>
          <cell r="F280">
            <v>362.46</v>
          </cell>
          <cell r="K280">
            <v>6</v>
          </cell>
          <cell r="N280">
            <v>1812.3</v>
          </cell>
        </row>
        <row r="281">
          <cell r="D281" t="str">
            <v>Chair</v>
          </cell>
          <cell r="E281">
            <v>3</v>
          </cell>
          <cell r="F281">
            <v>55.01</v>
          </cell>
          <cell r="K281">
            <v>7</v>
          </cell>
          <cell r="N281">
            <v>165.03</v>
          </cell>
        </row>
        <row r="282">
          <cell r="D282" t="str">
            <v>Tablet</v>
          </cell>
          <cell r="E282">
            <v>3</v>
          </cell>
          <cell r="F282">
            <v>404.62</v>
          </cell>
          <cell r="K282">
            <v>6</v>
          </cell>
          <cell r="N282">
            <v>1213.8599999999999</v>
          </cell>
        </row>
        <row r="283">
          <cell r="D283" t="str">
            <v>Desk</v>
          </cell>
          <cell r="E283">
            <v>4</v>
          </cell>
          <cell r="F283">
            <v>654.79</v>
          </cell>
          <cell r="K283">
            <v>9</v>
          </cell>
          <cell r="N283">
            <v>2619.16</v>
          </cell>
        </row>
        <row r="284">
          <cell r="D284" t="str">
            <v>Printer</v>
          </cell>
          <cell r="E284">
            <v>4</v>
          </cell>
          <cell r="F284">
            <v>637.79</v>
          </cell>
          <cell r="K284">
            <v>9</v>
          </cell>
          <cell r="N284">
            <v>2551.16</v>
          </cell>
        </row>
        <row r="285">
          <cell r="D285" t="str">
            <v>Laptop</v>
          </cell>
          <cell r="E285">
            <v>4</v>
          </cell>
          <cell r="F285">
            <v>540.33000000000004</v>
          </cell>
          <cell r="K285">
            <v>6</v>
          </cell>
          <cell r="N285">
            <v>2161.3200000000002</v>
          </cell>
        </row>
        <row r="286">
          <cell r="D286" t="str">
            <v>Laptop</v>
          </cell>
          <cell r="E286">
            <v>5</v>
          </cell>
          <cell r="F286">
            <v>208.17</v>
          </cell>
          <cell r="K286">
            <v>6</v>
          </cell>
          <cell r="N286">
            <v>1040.8499999999999</v>
          </cell>
        </row>
        <row r="287">
          <cell r="D287" t="str">
            <v>Phone</v>
          </cell>
          <cell r="E287">
            <v>1</v>
          </cell>
          <cell r="F287">
            <v>338.31</v>
          </cell>
          <cell r="K287">
            <v>3</v>
          </cell>
          <cell r="N287">
            <v>338.31</v>
          </cell>
        </row>
        <row r="288">
          <cell r="D288" t="str">
            <v>Monitor</v>
          </cell>
          <cell r="E288">
            <v>3</v>
          </cell>
          <cell r="F288">
            <v>139.44999999999999</v>
          </cell>
          <cell r="K288">
            <v>8</v>
          </cell>
          <cell r="N288">
            <v>418.35</v>
          </cell>
        </row>
        <row r="289">
          <cell r="D289" t="str">
            <v>Chair</v>
          </cell>
          <cell r="E289">
            <v>4</v>
          </cell>
          <cell r="F289">
            <v>655.17999999999995</v>
          </cell>
          <cell r="K289">
            <v>5</v>
          </cell>
          <cell r="N289">
            <v>2620.7199999999998</v>
          </cell>
        </row>
        <row r="290">
          <cell r="D290" t="str">
            <v>Laptop</v>
          </cell>
          <cell r="E290">
            <v>4</v>
          </cell>
          <cell r="F290">
            <v>512.75</v>
          </cell>
          <cell r="K290">
            <v>8</v>
          </cell>
          <cell r="N290">
            <v>2051</v>
          </cell>
        </row>
        <row r="291">
          <cell r="D291" t="str">
            <v>Chair</v>
          </cell>
          <cell r="E291">
            <v>4</v>
          </cell>
          <cell r="F291">
            <v>160.49</v>
          </cell>
          <cell r="K291">
            <v>8</v>
          </cell>
          <cell r="N291">
            <v>641.96</v>
          </cell>
        </row>
        <row r="292">
          <cell r="D292" t="str">
            <v>Chair</v>
          </cell>
          <cell r="E292">
            <v>3</v>
          </cell>
          <cell r="F292">
            <v>99.9</v>
          </cell>
          <cell r="K292">
            <v>8</v>
          </cell>
          <cell r="N292">
            <v>299.7</v>
          </cell>
        </row>
        <row r="293">
          <cell r="D293" t="str">
            <v>Phone</v>
          </cell>
          <cell r="E293">
            <v>2</v>
          </cell>
          <cell r="F293">
            <v>345.01</v>
          </cell>
          <cell r="K293">
            <v>6</v>
          </cell>
          <cell r="N293">
            <v>690.02</v>
          </cell>
        </row>
        <row r="294">
          <cell r="D294" t="str">
            <v>Monitor</v>
          </cell>
          <cell r="E294">
            <v>1</v>
          </cell>
          <cell r="F294">
            <v>65.95</v>
          </cell>
          <cell r="K294">
            <v>5</v>
          </cell>
          <cell r="N294">
            <v>65.95</v>
          </cell>
        </row>
        <row r="295">
          <cell r="D295" t="str">
            <v>Tablet</v>
          </cell>
          <cell r="E295">
            <v>4</v>
          </cell>
          <cell r="F295">
            <v>463.04</v>
          </cell>
          <cell r="K295">
            <v>9</v>
          </cell>
          <cell r="N295">
            <v>1852.16</v>
          </cell>
        </row>
        <row r="296">
          <cell r="D296" t="str">
            <v>Phone</v>
          </cell>
          <cell r="E296">
            <v>2</v>
          </cell>
          <cell r="F296">
            <v>297.70999999999998</v>
          </cell>
          <cell r="K296">
            <v>7</v>
          </cell>
          <cell r="N296">
            <v>595.41999999999996</v>
          </cell>
        </row>
        <row r="297">
          <cell r="D297" t="str">
            <v>Printer</v>
          </cell>
          <cell r="E297">
            <v>5</v>
          </cell>
          <cell r="F297">
            <v>107.48</v>
          </cell>
          <cell r="K297">
            <v>9</v>
          </cell>
          <cell r="N297">
            <v>537.4</v>
          </cell>
        </row>
        <row r="298">
          <cell r="D298" t="str">
            <v>Desk</v>
          </cell>
          <cell r="E298">
            <v>5</v>
          </cell>
          <cell r="F298">
            <v>638.79999999999995</v>
          </cell>
          <cell r="K298">
            <v>10</v>
          </cell>
          <cell r="N298">
            <v>3194</v>
          </cell>
        </row>
        <row r="299">
          <cell r="D299" t="str">
            <v>Desk</v>
          </cell>
          <cell r="E299">
            <v>2</v>
          </cell>
          <cell r="F299">
            <v>493.88</v>
          </cell>
          <cell r="K299">
            <v>7</v>
          </cell>
          <cell r="N299">
            <v>987.76</v>
          </cell>
        </row>
        <row r="300">
          <cell r="D300" t="str">
            <v>Printer</v>
          </cell>
          <cell r="E300">
            <v>4</v>
          </cell>
          <cell r="F300">
            <v>301.17</v>
          </cell>
          <cell r="K300">
            <v>6</v>
          </cell>
          <cell r="N300">
            <v>1204.68</v>
          </cell>
        </row>
        <row r="301">
          <cell r="D301" t="str">
            <v>Monitor</v>
          </cell>
          <cell r="E301">
            <v>1</v>
          </cell>
          <cell r="F301">
            <v>278.66000000000003</v>
          </cell>
          <cell r="K301">
            <v>2</v>
          </cell>
          <cell r="N301">
            <v>278.66000000000003</v>
          </cell>
        </row>
        <row r="302">
          <cell r="D302" t="str">
            <v>Phone</v>
          </cell>
          <cell r="E302">
            <v>1</v>
          </cell>
          <cell r="F302">
            <v>287.45999999999998</v>
          </cell>
          <cell r="K302">
            <v>3</v>
          </cell>
          <cell r="N302">
            <v>287.45999999999998</v>
          </cell>
        </row>
        <row r="303">
          <cell r="D303" t="str">
            <v>Chair</v>
          </cell>
          <cell r="E303">
            <v>1</v>
          </cell>
          <cell r="F303">
            <v>583.99</v>
          </cell>
          <cell r="K303">
            <v>2</v>
          </cell>
          <cell r="N303">
            <v>583.99</v>
          </cell>
        </row>
        <row r="304">
          <cell r="D304" t="str">
            <v>Chair</v>
          </cell>
          <cell r="E304">
            <v>3</v>
          </cell>
          <cell r="F304">
            <v>468.74</v>
          </cell>
          <cell r="K304">
            <v>4</v>
          </cell>
          <cell r="N304">
            <v>1406.22</v>
          </cell>
        </row>
        <row r="305">
          <cell r="D305" t="str">
            <v>Tablet</v>
          </cell>
          <cell r="E305">
            <v>1</v>
          </cell>
          <cell r="F305">
            <v>30.54</v>
          </cell>
          <cell r="K305">
            <v>1</v>
          </cell>
          <cell r="N305">
            <v>30.54</v>
          </cell>
        </row>
        <row r="306">
          <cell r="D306" t="str">
            <v>Monitor</v>
          </cell>
          <cell r="E306">
            <v>5</v>
          </cell>
          <cell r="F306">
            <v>408.73</v>
          </cell>
          <cell r="K306">
            <v>10</v>
          </cell>
          <cell r="N306">
            <v>2043.65</v>
          </cell>
        </row>
        <row r="307">
          <cell r="D307" t="str">
            <v>Laptop</v>
          </cell>
          <cell r="E307">
            <v>4</v>
          </cell>
          <cell r="F307">
            <v>126.89</v>
          </cell>
          <cell r="K307">
            <v>9</v>
          </cell>
          <cell r="N307">
            <v>507.56</v>
          </cell>
        </row>
        <row r="308">
          <cell r="D308" t="str">
            <v>Printer</v>
          </cell>
          <cell r="E308">
            <v>2</v>
          </cell>
          <cell r="F308">
            <v>57.07</v>
          </cell>
          <cell r="K308">
            <v>3</v>
          </cell>
          <cell r="N308">
            <v>114.14</v>
          </cell>
        </row>
        <row r="309">
          <cell r="D309" t="str">
            <v>Laptop</v>
          </cell>
          <cell r="E309">
            <v>3</v>
          </cell>
          <cell r="F309">
            <v>557.41</v>
          </cell>
          <cell r="K309">
            <v>4</v>
          </cell>
          <cell r="N309">
            <v>1672.23</v>
          </cell>
        </row>
        <row r="310">
          <cell r="D310" t="str">
            <v>Printer</v>
          </cell>
          <cell r="E310">
            <v>3</v>
          </cell>
          <cell r="F310">
            <v>448.9</v>
          </cell>
          <cell r="K310">
            <v>7</v>
          </cell>
          <cell r="N310">
            <v>1346.7</v>
          </cell>
        </row>
        <row r="311">
          <cell r="D311" t="str">
            <v>Chair</v>
          </cell>
          <cell r="E311">
            <v>4</v>
          </cell>
          <cell r="F311">
            <v>549.76</v>
          </cell>
          <cell r="K311">
            <v>4</v>
          </cell>
          <cell r="N311">
            <v>2199.04</v>
          </cell>
        </row>
        <row r="312">
          <cell r="D312" t="str">
            <v>Printer</v>
          </cell>
          <cell r="E312">
            <v>3</v>
          </cell>
          <cell r="F312">
            <v>132.47999999999999</v>
          </cell>
          <cell r="K312">
            <v>4</v>
          </cell>
          <cell r="N312">
            <v>397.44</v>
          </cell>
        </row>
        <row r="313">
          <cell r="D313" t="str">
            <v>Desk</v>
          </cell>
          <cell r="E313">
            <v>5</v>
          </cell>
          <cell r="F313">
            <v>489.37</v>
          </cell>
          <cell r="K313">
            <v>8</v>
          </cell>
          <cell r="N313">
            <v>2446.85</v>
          </cell>
        </row>
        <row r="314">
          <cell r="D314" t="str">
            <v>Printer</v>
          </cell>
          <cell r="E314">
            <v>5</v>
          </cell>
          <cell r="F314">
            <v>66.31</v>
          </cell>
          <cell r="K314">
            <v>7</v>
          </cell>
          <cell r="N314">
            <v>331.55</v>
          </cell>
        </row>
        <row r="315">
          <cell r="D315" t="str">
            <v>Chair</v>
          </cell>
          <cell r="E315">
            <v>2</v>
          </cell>
          <cell r="F315">
            <v>434.3</v>
          </cell>
          <cell r="K315">
            <v>7</v>
          </cell>
          <cell r="N315">
            <v>868.6</v>
          </cell>
        </row>
        <row r="316">
          <cell r="D316" t="str">
            <v>Desk</v>
          </cell>
          <cell r="E316">
            <v>4</v>
          </cell>
          <cell r="F316">
            <v>153.09</v>
          </cell>
          <cell r="K316">
            <v>4</v>
          </cell>
          <cell r="N316">
            <v>612.36</v>
          </cell>
        </row>
        <row r="317">
          <cell r="D317" t="str">
            <v>Tablet</v>
          </cell>
          <cell r="E317">
            <v>5</v>
          </cell>
          <cell r="F317">
            <v>91.67</v>
          </cell>
          <cell r="K317">
            <v>9</v>
          </cell>
          <cell r="N317">
            <v>458.35</v>
          </cell>
        </row>
        <row r="318">
          <cell r="D318" t="str">
            <v>Desk</v>
          </cell>
          <cell r="E318">
            <v>4</v>
          </cell>
          <cell r="F318">
            <v>275.27999999999997</v>
          </cell>
          <cell r="K318">
            <v>9</v>
          </cell>
          <cell r="N318">
            <v>1101.1199999999999</v>
          </cell>
        </row>
        <row r="319">
          <cell r="D319" t="str">
            <v>Monitor</v>
          </cell>
          <cell r="E319">
            <v>2</v>
          </cell>
          <cell r="F319">
            <v>139.94999999999999</v>
          </cell>
          <cell r="K319">
            <v>5</v>
          </cell>
          <cell r="N319">
            <v>279.89999999999998</v>
          </cell>
        </row>
        <row r="320">
          <cell r="D320" t="str">
            <v>Chair</v>
          </cell>
          <cell r="E320">
            <v>3</v>
          </cell>
          <cell r="F320">
            <v>148.72</v>
          </cell>
          <cell r="K320">
            <v>7</v>
          </cell>
          <cell r="N320">
            <v>446.16</v>
          </cell>
        </row>
        <row r="321">
          <cell r="D321" t="str">
            <v>Laptop</v>
          </cell>
          <cell r="E321">
            <v>2</v>
          </cell>
          <cell r="F321">
            <v>563.05999999999995</v>
          </cell>
          <cell r="K321">
            <v>6</v>
          </cell>
          <cell r="N321">
            <v>1126.1199999999999</v>
          </cell>
        </row>
        <row r="322">
          <cell r="D322" t="str">
            <v>Printer</v>
          </cell>
          <cell r="E322">
            <v>1</v>
          </cell>
          <cell r="F322">
            <v>625.51</v>
          </cell>
          <cell r="K322">
            <v>1</v>
          </cell>
          <cell r="N322">
            <v>625.51</v>
          </cell>
        </row>
        <row r="323">
          <cell r="D323" t="str">
            <v>Phone</v>
          </cell>
          <cell r="E323">
            <v>4</v>
          </cell>
          <cell r="F323">
            <v>152.29</v>
          </cell>
          <cell r="K323">
            <v>6</v>
          </cell>
          <cell r="N323">
            <v>609.16</v>
          </cell>
        </row>
        <row r="324">
          <cell r="D324" t="str">
            <v>Phone</v>
          </cell>
          <cell r="E324">
            <v>5</v>
          </cell>
          <cell r="F324">
            <v>231.82</v>
          </cell>
          <cell r="K324">
            <v>6</v>
          </cell>
          <cell r="N324">
            <v>1159.0999999999999</v>
          </cell>
        </row>
        <row r="325">
          <cell r="D325" t="str">
            <v>Laptop</v>
          </cell>
          <cell r="E325">
            <v>1</v>
          </cell>
          <cell r="F325">
            <v>150.16999999999999</v>
          </cell>
          <cell r="K325">
            <v>1</v>
          </cell>
          <cell r="N325">
            <v>150.16999999999999</v>
          </cell>
        </row>
        <row r="326">
          <cell r="D326" t="str">
            <v>Tablet</v>
          </cell>
          <cell r="E326">
            <v>3</v>
          </cell>
          <cell r="F326">
            <v>70.930000000000007</v>
          </cell>
          <cell r="K326">
            <v>5</v>
          </cell>
          <cell r="N326">
            <v>212.79</v>
          </cell>
        </row>
        <row r="327">
          <cell r="D327" t="str">
            <v>Desk</v>
          </cell>
          <cell r="E327">
            <v>3</v>
          </cell>
          <cell r="F327">
            <v>361.39</v>
          </cell>
          <cell r="K327">
            <v>8</v>
          </cell>
          <cell r="N327">
            <v>1084.17</v>
          </cell>
        </row>
        <row r="328">
          <cell r="D328" t="str">
            <v>Laptop</v>
          </cell>
          <cell r="E328">
            <v>5</v>
          </cell>
          <cell r="F328">
            <v>670.48</v>
          </cell>
          <cell r="K328">
            <v>5</v>
          </cell>
          <cell r="N328">
            <v>3352.4</v>
          </cell>
        </row>
        <row r="329">
          <cell r="D329" t="str">
            <v>Phone</v>
          </cell>
          <cell r="E329">
            <v>1</v>
          </cell>
          <cell r="F329">
            <v>359.99</v>
          </cell>
          <cell r="K329">
            <v>5</v>
          </cell>
          <cell r="N329">
            <v>359.99</v>
          </cell>
        </row>
        <row r="330">
          <cell r="D330" t="str">
            <v>Tablet</v>
          </cell>
          <cell r="E330">
            <v>5</v>
          </cell>
          <cell r="F330">
            <v>674.04</v>
          </cell>
          <cell r="K330">
            <v>7</v>
          </cell>
          <cell r="N330">
            <v>3370.2</v>
          </cell>
        </row>
        <row r="331">
          <cell r="D331" t="str">
            <v>Chair</v>
          </cell>
          <cell r="E331">
            <v>4</v>
          </cell>
          <cell r="F331">
            <v>283.16000000000003</v>
          </cell>
          <cell r="K331">
            <v>6</v>
          </cell>
          <cell r="N331">
            <v>1132.6400000000001</v>
          </cell>
        </row>
        <row r="332">
          <cell r="D332" t="str">
            <v>Desk</v>
          </cell>
          <cell r="E332">
            <v>5</v>
          </cell>
          <cell r="F332">
            <v>260.52999999999997</v>
          </cell>
          <cell r="K332">
            <v>5</v>
          </cell>
          <cell r="N332">
            <v>1302.6500000000001</v>
          </cell>
        </row>
        <row r="333">
          <cell r="D333" t="str">
            <v>Printer</v>
          </cell>
          <cell r="E333">
            <v>3</v>
          </cell>
          <cell r="F333">
            <v>422.13</v>
          </cell>
          <cell r="K333">
            <v>7</v>
          </cell>
          <cell r="N333">
            <v>1266.3900000000001</v>
          </cell>
        </row>
        <row r="334">
          <cell r="D334" t="str">
            <v>Desk</v>
          </cell>
          <cell r="E334">
            <v>5</v>
          </cell>
          <cell r="F334">
            <v>125.02</v>
          </cell>
          <cell r="K334">
            <v>9</v>
          </cell>
          <cell r="N334">
            <v>625.1</v>
          </cell>
        </row>
        <row r="335">
          <cell r="D335" t="str">
            <v>Phone</v>
          </cell>
          <cell r="E335">
            <v>1</v>
          </cell>
          <cell r="F335">
            <v>198.51</v>
          </cell>
          <cell r="K335">
            <v>5</v>
          </cell>
          <cell r="N335">
            <v>198.51</v>
          </cell>
        </row>
        <row r="336">
          <cell r="D336" t="str">
            <v>Chair</v>
          </cell>
          <cell r="E336">
            <v>4</v>
          </cell>
          <cell r="F336">
            <v>224.75</v>
          </cell>
          <cell r="K336">
            <v>7</v>
          </cell>
          <cell r="N336">
            <v>899</v>
          </cell>
        </row>
        <row r="337">
          <cell r="D337" t="str">
            <v>Tablet</v>
          </cell>
          <cell r="E337">
            <v>3</v>
          </cell>
          <cell r="F337">
            <v>205.86</v>
          </cell>
          <cell r="K337">
            <v>4</v>
          </cell>
          <cell r="N337">
            <v>617.58000000000004</v>
          </cell>
        </row>
        <row r="338">
          <cell r="D338" t="str">
            <v>Laptop</v>
          </cell>
          <cell r="E338">
            <v>1</v>
          </cell>
          <cell r="F338">
            <v>18.2</v>
          </cell>
          <cell r="K338">
            <v>4</v>
          </cell>
          <cell r="N338">
            <v>18.2</v>
          </cell>
        </row>
        <row r="339">
          <cell r="D339" t="str">
            <v>Tablet</v>
          </cell>
          <cell r="E339">
            <v>3</v>
          </cell>
          <cell r="F339">
            <v>502.77</v>
          </cell>
          <cell r="K339">
            <v>8</v>
          </cell>
          <cell r="N339">
            <v>1508.31</v>
          </cell>
        </row>
        <row r="340">
          <cell r="D340" t="str">
            <v>Phone</v>
          </cell>
          <cell r="E340">
            <v>5</v>
          </cell>
          <cell r="F340">
            <v>305.49</v>
          </cell>
          <cell r="K340">
            <v>10</v>
          </cell>
          <cell r="N340">
            <v>1527.45</v>
          </cell>
        </row>
        <row r="341">
          <cell r="D341" t="str">
            <v>Printer</v>
          </cell>
          <cell r="E341">
            <v>2</v>
          </cell>
          <cell r="F341">
            <v>236.33</v>
          </cell>
          <cell r="K341">
            <v>3</v>
          </cell>
          <cell r="N341">
            <v>472.66</v>
          </cell>
        </row>
        <row r="342">
          <cell r="D342" t="str">
            <v>Laptop</v>
          </cell>
          <cell r="E342">
            <v>5</v>
          </cell>
          <cell r="F342">
            <v>521.25</v>
          </cell>
          <cell r="K342">
            <v>8</v>
          </cell>
          <cell r="N342">
            <v>2606.25</v>
          </cell>
        </row>
        <row r="343">
          <cell r="D343" t="str">
            <v>Tablet</v>
          </cell>
          <cell r="E343">
            <v>1</v>
          </cell>
          <cell r="F343">
            <v>167.15</v>
          </cell>
          <cell r="K343">
            <v>5</v>
          </cell>
          <cell r="N343">
            <v>167.15</v>
          </cell>
        </row>
        <row r="344">
          <cell r="D344" t="str">
            <v>Monitor</v>
          </cell>
          <cell r="E344">
            <v>5</v>
          </cell>
          <cell r="F344">
            <v>466.42</v>
          </cell>
          <cell r="K344">
            <v>5</v>
          </cell>
          <cell r="N344">
            <v>2332.1</v>
          </cell>
        </row>
        <row r="345">
          <cell r="D345" t="str">
            <v>Printer</v>
          </cell>
          <cell r="E345">
            <v>1</v>
          </cell>
          <cell r="F345">
            <v>527.57000000000005</v>
          </cell>
          <cell r="K345">
            <v>3</v>
          </cell>
          <cell r="N345">
            <v>527.57000000000005</v>
          </cell>
        </row>
        <row r="346">
          <cell r="D346" t="str">
            <v>Tablet</v>
          </cell>
          <cell r="E346">
            <v>3</v>
          </cell>
          <cell r="F346">
            <v>623.34</v>
          </cell>
          <cell r="K346">
            <v>3</v>
          </cell>
          <cell r="N346">
            <v>1870.02</v>
          </cell>
        </row>
        <row r="347">
          <cell r="D347" t="str">
            <v>Tablet</v>
          </cell>
          <cell r="E347">
            <v>5</v>
          </cell>
          <cell r="F347">
            <v>501.26</v>
          </cell>
          <cell r="K347">
            <v>10</v>
          </cell>
          <cell r="N347">
            <v>2506.3000000000002</v>
          </cell>
        </row>
        <row r="348">
          <cell r="D348" t="str">
            <v>Tablet</v>
          </cell>
          <cell r="E348">
            <v>1</v>
          </cell>
          <cell r="F348">
            <v>655.09</v>
          </cell>
          <cell r="K348">
            <v>6</v>
          </cell>
          <cell r="N348">
            <v>655.09</v>
          </cell>
        </row>
        <row r="349">
          <cell r="D349" t="str">
            <v>Printer</v>
          </cell>
          <cell r="E349">
            <v>4</v>
          </cell>
          <cell r="F349">
            <v>264.79000000000002</v>
          </cell>
          <cell r="K349">
            <v>5</v>
          </cell>
          <cell r="N349">
            <v>1059.1600000000001</v>
          </cell>
        </row>
        <row r="350">
          <cell r="D350" t="str">
            <v>Laptop</v>
          </cell>
          <cell r="E350">
            <v>3</v>
          </cell>
          <cell r="F350">
            <v>359.73</v>
          </cell>
          <cell r="K350">
            <v>7</v>
          </cell>
          <cell r="N350">
            <v>1079.19</v>
          </cell>
        </row>
        <row r="351">
          <cell r="D351" t="str">
            <v>Chair</v>
          </cell>
          <cell r="E351">
            <v>1</v>
          </cell>
          <cell r="F351">
            <v>465.33</v>
          </cell>
          <cell r="K351">
            <v>2</v>
          </cell>
          <cell r="N351">
            <v>465.33</v>
          </cell>
        </row>
        <row r="352">
          <cell r="D352" t="str">
            <v>Chair</v>
          </cell>
          <cell r="E352">
            <v>2</v>
          </cell>
          <cell r="F352">
            <v>54.41</v>
          </cell>
          <cell r="K352">
            <v>6</v>
          </cell>
          <cell r="N352">
            <v>108.82</v>
          </cell>
        </row>
        <row r="353">
          <cell r="D353" t="str">
            <v>Laptop</v>
          </cell>
          <cell r="E353">
            <v>1</v>
          </cell>
          <cell r="F353">
            <v>64.66</v>
          </cell>
          <cell r="K353">
            <v>4</v>
          </cell>
          <cell r="N353">
            <v>64.66</v>
          </cell>
        </row>
        <row r="354">
          <cell r="D354" t="str">
            <v>Chair</v>
          </cell>
          <cell r="E354">
            <v>5</v>
          </cell>
          <cell r="F354">
            <v>173.96</v>
          </cell>
          <cell r="K354">
            <v>8</v>
          </cell>
          <cell r="N354">
            <v>869.8</v>
          </cell>
        </row>
        <row r="355">
          <cell r="D355" t="str">
            <v>Tablet</v>
          </cell>
          <cell r="E355">
            <v>1</v>
          </cell>
          <cell r="F355">
            <v>630.82000000000005</v>
          </cell>
          <cell r="K355">
            <v>5</v>
          </cell>
          <cell r="N355">
            <v>630.82000000000005</v>
          </cell>
        </row>
        <row r="356">
          <cell r="D356" t="str">
            <v>Phone</v>
          </cell>
          <cell r="E356">
            <v>1</v>
          </cell>
          <cell r="F356">
            <v>693.41</v>
          </cell>
          <cell r="K356">
            <v>4</v>
          </cell>
          <cell r="N356">
            <v>693.41</v>
          </cell>
        </row>
        <row r="357">
          <cell r="D357" t="str">
            <v>Tablet</v>
          </cell>
          <cell r="E357">
            <v>3</v>
          </cell>
          <cell r="F357">
            <v>433.33</v>
          </cell>
          <cell r="K357">
            <v>4</v>
          </cell>
          <cell r="N357">
            <v>1299.99</v>
          </cell>
        </row>
        <row r="358">
          <cell r="D358" t="str">
            <v>Printer</v>
          </cell>
          <cell r="E358">
            <v>5</v>
          </cell>
          <cell r="F358">
            <v>374.58</v>
          </cell>
          <cell r="K358">
            <v>10</v>
          </cell>
          <cell r="N358">
            <v>1872.9</v>
          </cell>
        </row>
        <row r="359">
          <cell r="D359" t="str">
            <v>Laptop</v>
          </cell>
          <cell r="E359">
            <v>5</v>
          </cell>
          <cell r="F359">
            <v>408.56</v>
          </cell>
          <cell r="K359">
            <v>8</v>
          </cell>
          <cell r="N359">
            <v>2042.8</v>
          </cell>
        </row>
        <row r="360">
          <cell r="D360" t="str">
            <v>Tablet</v>
          </cell>
          <cell r="E360">
            <v>2</v>
          </cell>
          <cell r="F360">
            <v>183.67</v>
          </cell>
          <cell r="K360">
            <v>3</v>
          </cell>
          <cell r="N360">
            <v>367.34</v>
          </cell>
        </row>
        <row r="361">
          <cell r="D361" t="str">
            <v>Desk</v>
          </cell>
          <cell r="E361">
            <v>4</v>
          </cell>
          <cell r="F361">
            <v>606.57000000000005</v>
          </cell>
          <cell r="K361">
            <v>5</v>
          </cell>
          <cell r="N361">
            <v>2426.2800000000002</v>
          </cell>
        </row>
        <row r="362">
          <cell r="D362" t="str">
            <v>Phone</v>
          </cell>
          <cell r="E362">
            <v>4</v>
          </cell>
          <cell r="F362">
            <v>589.57000000000005</v>
          </cell>
          <cell r="K362">
            <v>8</v>
          </cell>
          <cell r="N362">
            <v>2358.2800000000002</v>
          </cell>
        </row>
        <row r="363">
          <cell r="D363" t="str">
            <v>Printer</v>
          </cell>
          <cell r="E363">
            <v>5</v>
          </cell>
          <cell r="F363">
            <v>659.85</v>
          </cell>
          <cell r="K363">
            <v>9</v>
          </cell>
          <cell r="N363">
            <v>3299.25</v>
          </cell>
        </row>
        <row r="364">
          <cell r="D364" t="str">
            <v>Monitor</v>
          </cell>
          <cell r="E364">
            <v>4</v>
          </cell>
          <cell r="F364">
            <v>206.84</v>
          </cell>
          <cell r="K364">
            <v>5</v>
          </cell>
          <cell r="N364">
            <v>827.36</v>
          </cell>
        </row>
        <row r="365">
          <cell r="D365" t="str">
            <v>Laptop</v>
          </cell>
          <cell r="E365">
            <v>5</v>
          </cell>
          <cell r="F365">
            <v>113.87</v>
          </cell>
          <cell r="K365">
            <v>6</v>
          </cell>
          <cell r="N365">
            <v>569.35</v>
          </cell>
        </row>
        <row r="366">
          <cell r="D366" t="str">
            <v>Phone</v>
          </cell>
          <cell r="E366">
            <v>5</v>
          </cell>
          <cell r="F366">
            <v>628.74</v>
          </cell>
          <cell r="K366">
            <v>9</v>
          </cell>
          <cell r="N366">
            <v>3143.7</v>
          </cell>
        </row>
        <row r="367">
          <cell r="D367" t="str">
            <v>Phone</v>
          </cell>
          <cell r="E367">
            <v>1</v>
          </cell>
          <cell r="F367">
            <v>678.38</v>
          </cell>
          <cell r="K367">
            <v>4</v>
          </cell>
          <cell r="N367">
            <v>678.38</v>
          </cell>
        </row>
        <row r="368">
          <cell r="D368" t="str">
            <v>Printer</v>
          </cell>
          <cell r="E368">
            <v>3</v>
          </cell>
          <cell r="F368">
            <v>602.24</v>
          </cell>
          <cell r="K368">
            <v>8</v>
          </cell>
          <cell r="N368">
            <v>1806.72</v>
          </cell>
        </row>
        <row r="369">
          <cell r="D369" t="str">
            <v>Laptop</v>
          </cell>
          <cell r="E369">
            <v>5</v>
          </cell>
          <cell r="F369">
            <v>658.77</v>
          </cell>
          <cell r="K369">
            <v>10</v>
          </cell>
          <cell r="N369">
            <v>3293.85</v>
          </cell>
        </row>
        <row r="370">
          <cell r="D370" t="str">
            <v>Monitor</v>
          </cell>
          <cell r="E370">
            <v>3</v>
          </cell>
          <cell r="F370">
            <v>271.02</v>
          </cell>
          <cell r="K370">
            <v>6</v>
          </cell>
          <cell r="N370">
            <v>813.06</v>
          </cell>
        </row>
        <row r="371">
          <cell r="D371" t="str">
            <v>Monitor</v>
          </cell>
          <cell r="E371">
            <v>5</v>
          </cell>
          <cell r="F371">
            <v>375.25</v>
          </cell>
          <cell r="K371">
            <v>9</v>
          </cell>
          <cell r="N371">
            <v>1876.25</v>
          </cell>
        </row>
        <row r="372">
          <cell r="D372" t="str">
            <v>Phone</v>
          </cell>
          <cell r="E372">
            <v>1</v>
          </cell>
          <cell r="F372">
            <v>312.11</v>
          </cell>
          <cell r="K372">
            <v>4</v>
          </cell>
          <cell r="N372">
            <v>312.11</v>
          </cell>
        </row>
        <row r="373">
          <cell r="D373" t="str">
            <v>Phone</v>
          </cell>
          <cell r="E373">
            <v>5</v>
          </cell>
          <cell r="F373">
            <v>307.76</v>
          </cell>
          <cell r="K373">
            <v>9</v>
          </cell>
          <cell r="N373">
            <v>1538.8</v>
          </cell>
        </row>
        <row r="374">
          <cell r="D374" t="str">
            <v>Chair</v>
          </cell>
          <cell r="E374">
            <v>3</v>
          </cell>
          <cell r="F374">
            <v>483.53</v>
          </cell>
          <cell r="K374">
            <v>4</v>
          </cell>
          <cell r="N374">
            <v>1450.59</v>
          </cell>
        </row>
        <row r="375">
          <cell r="D375" t="str">
            <v>Laptop</v>
          </cell>
          <cell r="E375">
            <v>3</v>
          </cell>
          <cell r="F375">
            <v>341.15</v>
          </cell>
          <cell r="K375">
            <v>4</v>
          </cell>
          <cell r="N375">
            <v>1023.45</v>
          </cell>
        </row>
        <row r="376">
          <cell r="D376" t="str">
            <v>Monitor</v>
          </cell>
          <cell r="E376">
            <v>1</v>
          </cell>
          <cell r="F376">
            <v>571.9</v>
          </cell>
          <cell r="K376">
            <v>1</v>
          </cell>
          <cell r="N376">
            <v>571.9</v>
          </cell>
        </row>
        <row r="377">
          <cell r="D377" t="str">
            <v>Monitor</v>
          </cell>
          <cell r="E377">
            <v>4</v>
          </cell>
          <cell r="F377">
            <v>95.03</v>
          </cell>
          <cell r="K377">
            <v>8</v>
          </cell>
          <cell r="N377">
            <v>380.12</v>
          </cell>
        </row>
        <row r="378">
          <cell r="D378" t="str">
            <v>Monitor</v>
          </cell>
          <cell r="E378">
            <v>5</v>
          </cell>
          <cell r="F378">
            <v>201.22</v>
          </cell>
          <cell r="K378">
            <v>6</v>
          </cell>
          <cell r="N378">
            <v>1006.1</v>
          </cell>
        </row>
        <row r="379">
          <cell r="D379" t="str">
            <v>Monitor</v>
          </cell>
          <cell r="E379">
            <v>1</v>
          </cell>
          <cell r="F379">
            <v>260.26</v>
          </cell>
          <cell r="K379">
            <v>5</v>
          </cell>
          <cell r="N379">
            <v>260.26</v>
          </cell>
        </row>
        <row r="380">
          <cell r="D380" t="str">
            <v>Chair</v>
          </cell>
          <cell r="E380">
            <v>5</v>
          </cell>
          <cell r="F380">
            <v>64.5</v>
          </cell>
          <cell r="K380">
            <v>8</v>
          </cell>
          <cell r="N380">
            <v>322.5</v>
          </cell>
        </row>
        <row r="381">
          <cell r="D381" t="str">
            <v>Phone</v>
          </cell>
          <cell r="E381">
            <v>3</v>
          </cell>
          <cell r="F381">
            <v>297.67</v>
          </cell>
          <cell r="K381">
            <v>6</v>
          </cell>
          <cell r="N381">
            <v>893.01</v>
          </cell>
        </row>
        <row r="382">
          <cell r="D382" t="str">
            <v>Printer</v>
          </cell>
          <cell r="E382">
            <v>4</v>
          </cell>
          <cell r="F382">
            <v>331.9</v>
          </cell>
          <cell r="K382">
            <v>5</v>
          </cell>
          <cell r="N382">
            <v>1327.6</v>
          </cell>
        </row>
        <row r="383">
          <cell r="D383" t="str">
            <v>Chair</v>
          </cell>
          <cell r="E383">
            <v>1</v>
          </cell>
          <cell r="F383">
            <v>191.76</v>
          </cell>
          <cell r="K383">
            <v>1</v>
          </cell>
          <cell r="N383">
            <v>191.76</v>
          </cell>
        </row>
        <row r="384">
          <cell r="D384" t="str">
            <v>Printer</v>
          </cell>
          <cell r="E384">
            <v>4</v>
          </cell>
          <cell r="F384">
            <v>263.08999999999997</v>
          </cell>
          <cell r="K384">
            <v>8</v>
          </cell>
          <cell r="N384">
            <v>1052.3599999999999</v>
          </cell>
        </row>
        <row r="385">
          <cell r="D385" t="str">
            <v>Chair</v>
          </cell>
          <cell r="E385">
            <v>4</v>
          </cell>
          <cell r="F385">
            <v>393.8</v>
          </cell>
          <cell r="K385">
            <v>7</v>
          </cell>
          <cell r="N385">
            <v>1575.2</v>
          </cell>
        </row>
        <row r="386">
          <cell r="D386" t="str">
            <v>Chair</v>
          </cell>
          <cell r="E386">
            <v>3</v>
          </cell>
          <cell r="F386">
            <v>553.57000000000005</v>
          </cell>
          <cell r="K386">
            <v>4</v>
          </cell>
          <cell r="N386">
            <v>1660.71</v>
          </cell>
        </row>
        <row r="387">
          <cell r="D387" t="str">
            <v>Chair</v>
          </cell>
          <cell r="E387">
            <v>5</v>
          </cell>
          <cell r="F387">
            <v>191.63</v>
          </cell>
          <cell r="K387">
            <v>6</v>
          </cell>
          <cell r="N387">
            <v>958.15</v>
          </cell>
        </row>
        <row r="388">
          <cell r="D388" t="str">
            <v>Tablet</v>
          </cell>
          <cell r="E388">
            <v>1</v>
          </cell>
          <cell r="F388">
            <v>93.02</v>
          </cell>
          <cell r="K388">
            <v>4</v>
          </cell>
          <cell r="N388">
            <v>93.02</v>
          </cell>
        </row>
        <row r="389">
          <cell r="D389" t="str">
            <v>Printer</v>
          </cell>
          <cell r="E389">
            <v>2</v>
          </cell>
          <cell r="F389">
            <v>39.53</v>
          </cell>
          <cell r="K389">
            <v>3</v>
          </cell>
          <cell r="N389">
            <v>79.06</v>
          </cell>
        </row>
        <row r="390">
          <cell r="D390" t="str">
            <v>Printer</v>
          </cell>
          <cell r="E390">
            <v>3</v>
          </cell>
          <cell r="F390">
            <v>633.97</v>
          </cell>
          <cell r="K390">
            <v>7</v>
          </cell>
          <cell r="N390">
            <v>1901.91</v>
          </cell>
        </row>
        <row r="391">
          <cell r="D391" t="str">
            <v>Desk</v>
          </cell>
          <cell r="E391">
            <v>4</v>
          </cell>
          <cell r="F391">
            <v>697.5</v>
          </cell>
          <cell r="K391">
            <v>7</v>
          </cell>
          <cell r="N391">
            <v>2790</v>
          </cell>
        </row>
        <row r="392">
          <cell r="D392" t="str">
            <v>Printer</v>
          </cell>
          <cell r="E392">
            <v>5</v>
          </cell>
          <cell r="F392">
            <v>508.69</v>
          </cell>
          <cell r="K392">
            <v>10</v>
          </cell>
          <cell r="N392">
            <v>2543.4499999999998</v>
          </cell>
        </row>
        <row r="393">
          <cell r="D393" t="str">
            <v>Laptop</v>
          </cell>
          <cell r="E393">
            <v>2</v>
          </cell>
          <cell r="F393">
            <v>527.46</v>
          </cell>
          <cell r="K393">
            <v>3</v>
          </cell>
          <cell r="N393">
            <v>1054.92</v>
          </cell>
        </row>
        <row r="394">
          <cell r="D394" t="str">
            <v>Phone</v>
          </cell>
          <cell r="E394">
            <v>1</v>
          </cell>
          <cell r="F394">
            <v>627.20000000000005</v>
          </cell>
          <cell r="K394">
            <v>1</v>
          </cell>
          <cell r="N394">
            <v>627.20000000000005</v>
          </cell>
        </row>
        <row r="395">
          <cell r="D395" t="str">
            <v>Printer</v>
          </cell>
          <cell r="E395">
            <v>1</v>
          </cell>
          <cell r="F395">
            <v>75.010000000000005</v>
          </cell>
          <cell r="K395">
            <v>3</v>
          </cell>
          <cell r="N395">
            <v>75.010000000000005</v>
          </cell>
        </row>
        <row r="396">
          <cell r="D396" t="str">
            <v>Desk</v>
          </cell>
          <cell r="E396">
            <v>5</v>
          </cell>
          <cell r="F396">
            <v>529.54999999999995</v>
          </cell>
          <cell r="K396">
            <v>10</v>
          </cell>
          <cell r="N396">
            <v>2647.75</v>
          </cell>
        </row>
        <row r="397">
          <cell r="D397" t="str">
            <v>Phone</v>
          </cell>
          <cell r="E397">
            <v>3</v>
          </cell>
          <cell r="F397">
            <v>127.41</v>
          </cell>
          <cell r="K397">
            <v>7</v>
          </cell>
          <cell r="N397">
            <v>382.23</v>
          </cell>
        </row>
        <row r="398">
          <cell r="D398" t="str">
            <v>Tablet</v>
          </cell>
          <cell r="E398">
            <v>5</v>
          </cell>
          <cell r="F398">
            <v>287.13</v>
          </cell>
          <cell r="K398">
            <v>10</v>
          </cell>
          <cell r="N398">
            <v>1435.65</v>
          </cell>
        </row>
        <row r="399">
          <cell r="D399" t="str">
            <v>Monitor</v>
          </cell>
          <cell r="E399">
            <v>1</v>
          </cell>
          <cell r="F399">
            <v>427.06</v>
          </cell>
          <cell r="K399">
            <v>1</v>
          </cell>
          <cell r="N399">
            <v>427.06</v>
          </cell>
        </row>
        <row r="400">
          <cell r="D400" t="str">
            <v>Phone</v>
          </cell>
          <cell r="E400">
            <v>5</v>
          </cell>
          <cell r="F400">
            <v>53.93</v>
          </cell>
          <cell r="K400">
            <v>7</v>
          </cell>
          <cell r="N400">
            <v>269.64999999999998</v>
          </cell>
        </row>
        <row r="401">
          <cell r="D401" t="str">
            <v>Tablet</v>
          </cell>
          <cell r="E401">
            <v>5</v>
          </cell>
          <cell r="F401">
            <v>423.93</v>
          </cell>
          <cell r="K401">
            <v>5</v>
          </cell>
          <cell r="N401">
            <v>2119.65</v>
          </cell>
        </row>
        <row r="402">
          <cell r="D402" t="str">
            <v>Desk</v>
          </cell>
          <cell r="E402">
            <v>4</v>
          </cell>
          <cell r="F402">
            <v>160.22</v>
          </cell>
          <cell r="K402">
            <v>9</v>
          </cell>
          <cell r="N402">
            <v>640.88</v>
          </cell>
        </row>
        <row r="403">
          <cell r="D403" t="str">
            <v>Printer</v>
          </cell>
          <cell r="E403">
            <v>1</v>
          </cell>
          <cell r="F403">
            <v>538.67999999999995</v>
          </cell>
          <cell r="K403">
            <v>6</v>
          </cell>
          <cell r="N403">
            <v>538.67999999999995</v>
          </cell>
        </row>
        <row r="404">
          <cell r="D404" t="str">
            <v>Printer</v>
          </cell>
          <cell r="E404">
            <v>5</v>
          </cell>
          <cell r="F404">
            <v>337.38</v>
          </cell>
          <cell r="K404">
            <v>5</v>
          </cell>
          <cell r="N404">
            <v>1686.9</v>
          </cell>
        </row>
        <row r="405">
          <cell r="D405" t="str">
            <v>Tablet</v>
          </cell>
          <cell r="E405">
            <v>1</v>
          </cell>
          <cell r="F405">
            <v>620.21</v>
          </cell>
          <cell r="K405">
            <v>1</v>
          </cell>
          <cell r="N405">
            <v>620.21</v>
          </cell>
        </row>
        <row r="406">
          <cell r="D406" t="str">
            <v>Monitor</v>
          </cell>
          <cell r="E406">
            <v>2</v>
          </cell>
          <cell r="F406">
            <v>99.1</v>
          </cell>
          <cell r="K406">
            <v>6</v>
          </cell>
          <cell r="N406">
            <v>198.2</v>
          </cell>
        </row>
        <row r="407">
          <cell r="D407" t="str">
            <v>Monitor</v>
          </cell>
          <cell r="E407">
            <v>4</v>
          </cell>
          <cell r="F407">
            <v>451.97</v>
          </cell>
          <cell r="K407">
            <v>7</v>
          </cell>
          <cell r="N407">
            <v>1807.88</v>
          </cell>
        </row>
        <row r="408">
          <cell r="D408" t="str">
            <v>Tablet</v>
          </cell>
          <cell r="E408">
            <v>4</v>
          </cell>
          <cell r="F408">
            <v>66.099999999999994</v>
          </cell>
          <cell r="K408">
            <v>9</v>
          </cell>
          <cell r="N408">
            <v>264.39999999999998</v>
          </cell>
        </row>
        <row r="409">
          <cell r="D409" t="str">
            <v>Tablet</v>
          </cell>
          <cell r="E409">
            <v>4</v>
          </cell>
          <cell r="F409">
            <v>547.32000000000005</v>
          </cell>
          <cell r="K409">
            <v>8</v>
          </cell>
          <cell r="N409">
            <v>2189.2800000000002</v>
          </cell>
        </row>
        <row r="410">
          <cell r="D410" t="str">
            <v>Printer</v>
          </cell>
          <cell r="E410">
            <v>3</v>
          </cell>
          <cell r="F410">
            <v>412.53</v>
          </cell>
          <cell r="K410">
            <v>6</v>
          </cell>
          <cell r="N410">
            <v>1237.5899999999999</v>
          </cell>
        </row>
        <row r="411">
          <cell r="D411" t="str">
            <v>Desk</v>
          </cell>
          <cell r="E411">
            <v>5</v>
          </cell>
          <cell r="F411">
            <v>84.13</v>
          </cell>
          <cell r="K411">
            <v>9</v>
          </cell>
          <cell r="N411">
            <v>420.65</v>
          </cell>
        </row>
        <row r="412">
          <cell r="D412" t="str">
            <v>Tablet</v>
          </cell>
          <cell r="E412">
            <v>2</v>
          </cell>
          <cell r="F412">
            <v>518.23</v>
          </cell>
          <cell r="K412">
            <v>5</v>
          </cell>
          <cell r="N412">
            <v>1036.46</v>
          </cell>
        </row>
        <row r="413">
          <cell r="D413" t="str">
            <v>Desk</v>
          </cell>
          <cell r="E413">
            <v>2</v>
          </cell>
          <cell r="F413">
            <v>39.51</v>
          </cell>
          <cell r="K413">
            <v>5</v>
          </cell>
          <cell r="N413">
            <v>79.02</v>
          </cell>
        </row>
        <row r="414">
          <cell r="D414" t="str">
            <v>Tablet</v>
          </cell>
          <cell r="E414">
            <v>5</v>
          </cell>
          <cell r="F414">
            <v>133.01</v>
          </cell>
          <cell r="K414">
            <v>10</v>
          </cell>
          <cell r="N414">
            <v>665.05</v>
          </cell>
        </row>
        <row r="415">
          <cell r="D415" t="str">
            <v>Tablet</v>
          </cell>
          <cell r="E415">
            <v>1</v>
          </cell>
          <cell r="F415">
            <v>118.8</v>
          </cell>
          <cell r="K415">
            <v>6</v>
          </cell>
          <cell r="N415">
            <v>118.8</v>
          </cell>
        </row>
        <row r="416">
          <cell r="D416" t="str">
            <v>Desk</v>
          </cell>
          <cell r="E416">
            <v>2</v>
          </cell>
          <cell r="F416">
            <v>139.57</v>
          </cell>
          <cell r="K416">
            <v>4</v>
          </cell>
          <cell r="N416">
            <v>279.14</v>
          </cell>
        </row>
        <row r="417">
          <cell r="D417" t="str">
            <v>Chair</v>
          </cell>
          <cell r="E417">
            <v>1</v>
          </cell>
          <cell r="F417">
            <v>184.15</v>
          </cell>
          <cell r="K417">
            <v>5</v>
          </cell>
          <cell r="N417">
            <v>184.15</v>
          </cell>
        </row>
        <row r="418">
          <cell r="D418" t="str">
            <v>Laptop</v>
          </cell>
          <cell r="E418">
            <v>2</v>
          </cell>
          <cell r="F418">
            <v>644.04999999999995</v>
          </cell>
          <cell r="K418">
            <v>5</v>
          </cell>
          <cell r="N418">
            <v>1288.0999999999999</v>
          </cell>
        </row>
        <row r="419">
          <cell r="D419" t="str">
            <v>Laptop</v>
          </cell>
          <cell r="E419">
            <v>5</v>
          </cell>
          <cell r="F419">
            <v>55.41</v>
          </cell>
          <cell r="K419">
            <v>5</v>
          </cell>
          <cell r="N419">
            <v>277.05</v>
          </cell>
        </row>
        <row r="420">
          <cell r="D420" t="str">
            <v>Printer</v>
          </cell>
          <cell r="E420">
            <v>1</v>
          </cell>
          <cell r="F420">
            <v>310.93</v>
          </cell>
          <cell r="K420">
            <v>3</v>
          </cell>
          <cell r="N420">
            <v>310.93</v>
          </cell>
        </row>
        <row r="421">
          <cell r="D421" t="str">
            <v>Tablet</v>
          </cell>
          <cell r="E421">
            <v>2</v>
          </cell>
          <cell r="F421">
            <v>216.66</v>
          </cell>
          <cell r="K421">
            <v>6</v>
          </cell>
          <cell r="N421">
            <v>433.32</v>
          </cell>
        </row>
        <row r="422">
          <cell r="D422" t="str">
            <v>Phone</v>
          </cell>
          <cell r="E422">
            <v>1</v>
          </cell>
          <cell r="F422">
            <v>452.7</v>
          </cell>
          <cell r="K422">
            <v>5</v>
          </cell>
          <cell r="N422">
            <v>452.7</v>
          </cell>
        </row>
        <row r="423">
          <cell r="D423" t="str">
            <v>Chair</v>
          </cell>
          <cell r="E423">
            <v>2</v>
          </cell>
          <cell r="F423">
            <v>288.20999999999998</v>
          </cell>
          <cell r="K423">
            <v>5</v>
          </cell>
          <cell r="N423">
            <v>576.41999999999996</v>
          </cell>
        </row>
        <row r="424">
          <cell r="D424" t="str">
            <v>Phone</v>
          </cell>
          <cell r="E424">
            <v>4</v>
          </cell>
          <cell r="F424">
            <v>206.6</v>
          </cell>
          <cell r="K424">
            <v>6</v>
          </cell>
          <cell r="N424">
            <v>826.4</v>
          </cell>
        </row>
        <row r="425">
          <cell r="D425" t="str">
            <v>Printer</v>
          </cell>
          <cell r="E425">
            <v>4</v>
          </cell>
          <cell r="F425">
            <v>685.2</v>
          </cell>
          <cell r="K425">
            <v>6</v>
          </cell>
          <cell r="N425">
            <v>2740.8</v>
          </cell>
        </row>
        <row r="426">
          <cell r="D426" t="str">
            <v>Chair</v>
          </cell>
          <cell r="E426">
            <v>5</v>
          </cell>
          <cell r="F426">
            <v>22.94</v>
          </cell>
          <cell r="K426">
            <v>10</v>
          </cell>
          <cell r="N426">
            <v>114.7</v>
          </cell>
        </row>
        <row r="427">
          <cell r="D427" t="str">
            <v>Laptop</v>
          </cell>
          <cell r="E427">
            <v>2</v>
          </cell>
          <cell r="F427">
            <v>301.88</v>
          </cell>
          <cell r="K427">
            <v>5</v>
          </cell>
          <cell r="N427">
            <v>603.76</v>
          </cell>
        </row>
        <row r="428">
          <cell r="D428" t="str">
            <v>Monitor</v>
          </cell>
          <cell r="E428">
            <v>5</v>
          </cell>
          <cell r="F428">
            <v>57.45</v>
          </cell>
          <cell r="K428">
            <v>10</v>
          </cell>
          <cell r="N428">
            <v>287.25</v>
          </cell>
        </row>
        <row r="429">
          <cell r="D429" t="str">
            <v>Desk</v>
          </cell>
          <cell r="E429">
            <v>1</v>
          </cell>
          <cell r="F429">
            <v>161.24</v>
          </cell>
          <cell r="K429">
            <v>3</v>
          </cell>
          <cell r="N429">
            <v>161.24</v>
          </cell>
        </row>
        <row r="430">
          <cell r="D430" t="str">
            <v>Chair</v>
          </cell>
          <cell r="E430">
            <v>4</v>
          </cell>
          <cell r="F430">
            <v>262.58</v>
          </cell>
          <cell r="K430">
            <v>8</v>
          </cell>
          <cell r="N430">
            <v>1050.32</v>
          </cell>
        </row>
        <row r="431">
          <cell r="D431" t="str">
            <v>Printer</v>
          </cell>
          <cell r="E431">
            <v>4</v>
          </cell>
          <cell r="F431">
            <v>515.19000000000005</v>
          </cell>
          <cell r="K431">
            <v>9</v>
          </cell>
          <cell r="N431">
            <v>2060.7600000000002</v>
          </cell>
        </row>
        <row r="432">
          <cell r="D432" t="str">
            <v>Phone</v>
          </cell>
          <cell r="E432">
            <v>1</v>
          </cell>
          <cell r="F432">
            <v>450.07</v>
          </cell>
          <cell r="K432">
            <v>6</v>
          </cell>
          <cell r="N432">
            <v>450.07</v>
          </cell>
        </row>
        <row r="433">
          <cell r="D433" t="str">
            <v>Printer</v>
          </cell>
          <cell r="E433">
            <v>1</v>
          </cell>
          <cell r="F433">
            <v>52.54</v>
          </cell>
          <cell r="K433">
            <v>6</v>
          </cell>
          <cell r="N433">
            <v>52.54</v>
          </cell>
        </row>
        <row r="434">
          <cell r="D434" t="str">
            <v>Tablet</v>
          </cell>
          <cell r="E434">
            <v>2</v>
          </cell>
          <cell r="F434">
            <v>424.32</v>
          </cell>
          <cell r="K434">
            <v>6</v>
          </cell>
          <cell r="N434">
            <v>848.64</v>
          </cell>
        </row>
        <row r="435">
          <cell r="D435" t="str">
            <v>Monitor</v>
          </cell>
          <cell r="E435">
            <v>3</v>
          </cell>
          <cell r="F435">
            <v>631.64</v>
          </cell>
          <cell r="K435">
            <v>3</v>
          </cell>
          <cell r="N435">
            <v>1894.92</v>
          </cell>
        </row>
        <row r="436">
          <cell r="D436" t="str">
            <v>Printer</v>
          </cell>
          <cell r="E436">
            <v>5</v>
          </cell>
          <cell r="F436">
            <v>327.68</v>
          </cell>
          <cell r="K436">
            <v>6</v>
          </cell>
          <cell r="N436">
            <v>1638.4</v>
          </cell>
        </row>
        <row r="437">
          <cell r="D437" t="str">
            <v>Printer</v>
          </cell>
          <cell r="E437">
            <v>1</v>
          </cell>
          <cell r="F437">
            <v>414.47</v>
          </cell>
          <cell r="K437">
            <v>3</v>
          </cell>
          <cell r="N437">
            <v>414.47</v>
          </cell>
        </row>
        <row r="438">
          <cell r="D438" t="str">
            <v>Laptop</v>
          </cell>
          <cell r="E438">
            <v>4</v>
          </cell>
          <cell r="F438">
            <v>221.33</v>
          </cell>
          <cell r="K438">
            <v>5</v>
          </cell>
          <cell r="N438">
            <v>885.32</v>
          </cell>
        </row>
        <row r="439">
          <cell r="D439" t="str">
            <v>Phone</v>
          </cell>
          <cell r="E439">
            <v>1</v>
          </cell>
          <cell r="F439">
            <v>512.39</v>
          </cell>
          <cell r="K439">
            <v>2</v>
          </cell>
          <cell r="N439">
            <v>512.39</v>
          </cell>
        </row>
        <row r="440">
          <cell r="D440" t="str">
            <v>Tablet</v>
          </cell>
          <cell r="E440">
            <v>3</v>
          </cell>
          <cell r="F440">
            <v>459.34</v>
          </cell>
          <cell r="K440">
            <v>3</v>
          </cell>
          <cell r="N440">
            <v>1378.02</v>
          </cell>
        </row>
        <row r="441">
          <cell r="D441" t="str">
            <v>Tablet</v>
          </cell>
          <cell r="E441">
            <v>1</v>
          </cell>
          <cell r="F441">
            <v>146.32</v>
          </cell>
          <cell r="K441">
            <v>4</v>
          </cell>
          <cell r="N441">
            <v>146.32</v>
          </cell>
        </row>
        <row r="442">
          <cell r="D442" t="str">
            <v>Desk</v>
          </cell>
          <cell r="E442">
            <v>4</v>
          </cell>
          <cell r="F442">
            <v>83.6</v>
          </cell>
          <cell r="K442">
            <v>4</v>
          </cell>
          <cell r="N442">
            <v>334.4</v>
          </cell>
        </row>
        <row r="443">
          <cell r="D443" t="str">
            <v>Printer</v>
          </cell>
          <cell r="E443">
            <v>2</v>
          </cell>
          <cell r="F443">
            <v>328.54</v>
          </cell>
          <cell r="K443">
            <v>6</v>
          </cell>
          <cell r="N443">
            <v>657.08</v>
          </cell>
        </row>
        <row r="444">
          <cell r="D444" t="str">
            <v>Chair</v>
          </cell>
          <cell r="E444">
            <v>5</v>
          </cell>
          <cell r="F444">
            <v>314.94</v>
          </cell>
          <cell r="K444">
            <v>8</v>
          </cell>
          <cell r="N444">
            <v>1574.7</v>
          </cell>
        </row>
        <row r="445">
          <cell r="D445" t="str">
            <v>Chair</v>
          </cell>
          <cell r="E445">
            <v>2</v>
          </cell>
          <cell r="F445">
            <v>69.64</v>
          </cell>
          <cell r="K445">
            <v>6</v>
          </cell>
          <cell r="N445">
            <v>139.28</v>
          </cell>
        </row>
        <row r="446">
          <cell r="D446" t="str">
            <v>Printer</v>
          </cell>
          <cell r="E446">
            <v>1</v>
          </cell>
          <cell r="F446">
            <v>135.16999999999999</v>
          </cell>
          <cell r="K446">
            <v>6</v>
          </cell>
          <cell r="N446">
            <v>135.16999999999999</v>
          </cell>
        </row>
        <row r="447">
          <cell r="D447" t="str">
            <v>Phone</v>
          </cell>
          <cell r="E447">
            <v>1</v>
          </cell>
          <cell r="F447">
            <v>487.21</v>
          </cell>
          <cell r="K447">
            <v>3</v>
          </cell>
          <cell r="N447">
            <v>487.21</v>
          </cell>
        </row>
        <row r="448">
          <cell r="D448" t="str">
            <v>Laptop</v>
          </cell>
          <cell r="E448">
            <v>5</v>
          </cell>
          <cell r="F448">
            <v>509.58</v>
          </cell>
          <cell r="K448">
            <v>6</v>
          </cell>
          <cell r="N448">
            <v>2547.9</v>
          </cell>
        </row>
        <row r="449">
          <cell r="D449" t="str">
            <v>Printer</v>
          </cell>
          <cell r="E449">
            <v>2</v>
          </cell>
          <cell r="F449">
            <v>416.81</v>
          </cell>
          <cell r="K449">
            <v>2</v>
          </cell>
          <cell r="N449">
            <v>833.62</v>
          </cell>
        </row>
        <row r="450">
          <cell r="D450" t="str">
            <v>Laptop</v>
          </cell>
          <cell r="E450">
            <v>2</v>
          </cell>
          <cell r="F450">
            <v>160</v>
          </cell>
          <cell r="K450">
            <v>4</v>
          </cell>
          <cell r="N450">
            <v>320</v>
          </cell>
        </row>
        <row r="451">
          <cell r="D451" t="str">
            <v>Tablet</v>
          </cell>
          <cell r="E451">
            <v>3</v>
          </cell>
          <cell r="F451">
            <v>253.05</v>
          </cell>
          <cell r="K451">
            <v>3</v>
          </cell>
          <cell r="N451">
            <v>759.15</v>
          </cell>
        </row>
        <row r="452">
          <cell r="D452" t="str">
            <v>Monitor</v>
          </cell>
          <cell r="E452">
            <v>5</v>
          </cell>
          <cell r="F452">
            <v>615.1</v>
          </cell>
          <cell r="K452">
            <v>10</v>
          </cell>
          <cell r="N452">
            <v>3075.5</v>
          </cell>
        </row>
        <row r="453">
          <cell r="D453" t="str">
            <v>Monitor</v>
          </cell>
          <cell r="E453">
            <v>1</v>
          </cell>
          <cell r="F453">
            <v>183.18</v>
          </cell>
          <cell r="K453">
            <v>6</v>
          </cell>
          <cell r="N453">
            <v>183.18</v>
          </cell>
        </row>
        <row r="454">
          <cell r="D454" t="str">
            <v>Printer</v>
          </cell>
          <cell r="E454">
            <v>1</v>
          </cell>
          <cell r="F454">
            <v>75.78</v>
          </cell>
          <cell r="K454">
            <v>5</v>
          </cell>
          <cell r="N454">
            <v>75.78</v>
          </cell>
        </row>
        <row r="455">
          <cell r="D455" t="str">
            <v>Tablet</v>
          </cell>
          <cell r="E455">
            <v>1</v>
          </cell>
          <cell r="F455">
            <v>675.57</v>
          </cell>
          <cell r="K455">
            <v>1</v>
          </cell>
          <cell r="N455">
            <v>675.57</v>
          </cell>
        </row>
        <row r="456">
          <cell r="D456" t="str">
            <v>Laptop</v>
          </cell>
          <cell r="E456">
            <v>1</v>
          </cell>
          <cell r="F456">
            <v>109.29</v>
          </cell>
          <cell r="K456">
            <v>5</v>
          </cell>
          <cell r="N456">
            <v>109.29</v>
          </cell>
        </row>
        <row r="457">
          <cell r="D457" t="str">
            <v>Phone</v>
          </cell>
          <cell r="E457">
            <v>1</v>
          </cell>
          <cell r="F457">
            <v>639.83000000000004</v>
          </cell>
          <cell r="K457">
            <v>2</v>
          </cell>
          <cell r="N457">
            <v>639.83000000000004</v>
          </cell>
        </row>
        <row r="458">
          <cell r="D458" t="str">
            <v>Desk</v>
          </cell>
          <cell r="E458">
            <v>5</v>
          </cell>
          <cell r="F458">
            <v>62.81</v>
          </cell>
          <cell r="K458">
            <v>9</v>
          </cell>
          <cell r="N458">
            <v>314.05</v>
          </cell>
        </row>
        <row r="459">
          <cell r="D459" t="str">
            <v>Desk</v>
          </cell>
          <cell r="E459">
            <v>4</v>
          </cell>
          <cell r="F459">
            <v>615.83000000000004</v>
          </cell>
          <cell r="K459">
            <v>4</v>
          </cell>
          <cell r="N459">
            <v>2463.3200000000002</v>
          </cell>
        </row>
        <row r="460">
          <cell r="D460" t="str">
            <v>Monitor</v>
          </cell>
          <cell r="E460">
            <v>4</v>
          </cell>
          <cell r="F460">
            <v>510.58</v>
          </cell>
          <cell r="K460">
            <v>7</v>
          </cell>
          <cell r="N460">
            <v>2042.32</v>
          </cell>
        </row>
        <row r="461">
          <cell r="D461" t="str">
            <v>Desk</v>
          </cell>
          <cell r="E461">
            <v>1</v>
          </cell>
          <cell r="F461">
            <v>334.39</v>
          </cell>
          <cell r="K461">
            <v>2</v>
          </cell>
          <cell r="N461">
            <v>334.39</v>
          </cell>
        </row>
        <row r="462">
          <cell r="D462" t="str">
            <v>Laptop</v>
          </cell>
          <cell r="E462">
            <v>1</v>
          </cell>
          <cell r="F462">
            <v>144.25</v>
          </cell>
          <cell r="K462">
            <v>2</v>
          </cell>
          <cell r="N462">
            <v>144.25</v>
          </cell>
        </row>
        <row r="463">
          <cell r="D463" t="str">
            <v>Tablet</v>
          </cell>
          <cell r="E463">
            <v>1</v>
          </cell>
          <cell r="F463">
            <v>401.82</v>
          </cell>
          <cell r="K463">
            <v>5</v>
          </cell>
          <cell r="N463">
            <v>401.82</v>
          </cell>
        </row>
        <row r="464">
          <cell r="D464" t="str">
            <v>Phone</v>
          </cell>
          <cell r="E464">
            <v>1</v>
          </cell>
          <cell r="F464">
            <v>252.68</v>
          </cell>
          <cell r="K464">
            <v>1</v>
          </cell>
          <cell r="N464">
            <v>252.68</v>
          </cell>
        </row>
        <row r="465">
          <cell r="D465" t="str">
            <v>Laptop</v>
          </cell>
          <cell r="E465">
            <v>5</v>
          </cell>
          <cell r="F465">
            <v>662.78</v>
          </cell>
          <cell r="K465">
            <v>9</v>
          </cell>
          <cell r="N465">
            <v>3313.9</v>
          </cell>
        </row>
        <row r="466">
          <cell r="D466" t="str">
            <v>Tablet</v>
          </cell>
          <cell r="E466">
            <v>4</v>
          </cell>
          <cell r="F466">
            <v>434.42</v>
          </cell>
          <cell r="K466">
            <v>6</v>
          </cell>
          <cell r="N466">
            <v>1737.68</v>
          </cell>
        </row>
        <row r="467">
          <cell r="D467" t="str">
            <v>Printer</v>
          </cell>
          <cell r="E467">
            <v>5</v>
          </cell>
          <cell r="F467">
            <v>513.49</v>
          </cell>
          <cell r="K467">
            <v>8</v>
          </cell>
          <cell r="N467">
            <v>2567.4499999999998</v>
          </cell>
        </row>
        <row r="468">
          <cell r="D468" t="str">
            <v>Phone</v>
          </cell>
          <cell r="E468">
            <v>1</v>
          </cell>
          <cell r="F468">
            <v>432.47</v>
          </cell>
          <cell r="K468">
            <v>4</v>
          </cell>
          <cell r="N468">
            <v>432.47</v>
          </cell>
        </row>
        <row r="469">
          <cell r="D469" t="str">
            <v>Desk</v>
          </cell>
          <cell r="E469">
            <v>1</v>
          </cell>
          <cell r="F469">
            <v>45.94</v>
          </cell>
          <cell r="K469">
            <v>2</v>
          </cell>
          <cell r="N469">
            <v>45.94</v>
          </cell>
        </row>
        <row r="470">
          <cell r="D470" t="str">
            <v>Phone</v>
          </cell>
          <cell r="E470">
            <v>1</v>
          </cell>
          <cell r="F470">
            <v>418.36</v>
          </cell>
          <cell r="K470">
            <v>5</v>
          </cell>
          <cell r="N470">
            <v>418.36</v>
          </cell>
        </row>
        <row r="471">
          <cell r="D471" t="str">
            <v>Chair</v>
          </cell>
          <cell r="E471">
            <v>5</v>
          </cell>
          <cell r="F471">
            <v>676.98</v>
          </cell>
          <cell r="K471">
            <v>5</v>
          </cell>
          <cell r="N471">
            <v>3384.9</v>
          </cell>
        </row>
        <row r="472">
          <cell r="D472" t="str">
            <v>Tablet</v>
          </cell>
          <cell r="E472">
            <v>4</v>
          </cell>
          <cell r="F472">
            <v>263.62</v>
          </cell>
          <cell r="K472">
            <v>5</v>
          </cell>
          <cell r="N472">
            <v>1054.48</v>
          </cell>
        </row>
        <row r="473">
          <cell r="D473" t="str">
            <v>Desk</v>
          </cell>
          <cell r="E473">
            <v>5</v>
          </cell>
          <cell r="F473">
            <v>551.27</v>
          </cell>
          <cell r="K473">
            <v>7</v>
          </cell>
          <cell r="N473">
            <v>2756.35</v>
          </cell>
        </row>
        <row r="474">
          <cell r="D474" t="str">
            <v>Chair</v>
          </cell>
          <cell r="E474">
            <v>3</v>
          </cell>
          <cell r="F474">
            <v>508.12</v>
          </cell>
          <cell r="K474">
            <v>8</v>
          </cell>
          <cell r="N474">
            <v>1524.36</v>
          </cell>
        </row>
        <row r="475">
          <cell r="D475" t="str">
            <v>Chair</v>
          </cell>
          <cell r="E475">
            <v>2</v>
          </cell>
          <cell r="F475">
            <v>14.93</v>
          </cell>
          <cell r="K475">
            <v>4</v>
          </cell>
          <cell r="N475">
            <v>29.86</v>
          </cell>
        </row>
        <row r="476">
          <cell r="D476" t="str">
            <v>Printer</v>
          </cell>
          <cell r="E476">
            <v>3</v>
          </cell>
          <cell r="F476">
            <v>229.34</v>
          </cell>
          <cell r="K476">
            <v>6</v>
          </cell>
          <cell r="N476">
            <v>688.02</v>
          </cell>
        </row>
        <row r="477">
          <cell r="D477" t="str">
            <v>Tablet</v>
          </cell>
          <cell r="E477">
            <v>2</v>
          </cell>
          <cell r="F477">
            <v>438.62</v>
          </cell>
          <cell r="K477">
            <v>3</v>
          </cell>
          <cell r="N477">
            <v>877.24</v>
          </cell>
        </row>
        <row r="478">
          <cell r="D478" t="str">
            <v>Phone</v>
          </cell>
          <cell r="E478">
            <v>2</v>
          </cell>
          <cell r="F478">
            <v>513.59</v>
          </cell>
          <cell r="K478">
            <v>4</v>
          </cell>
          <cell r="N478">
            <v>1027.18</v>
          </cell>
        </row>
        <row r="479">
          <cell r="D479" t="str">
            <v>Phone</v>
          </cell>
          <cell r="E479">
            <v>2</v>
          </cell>
          <cell r="F479">
            <v>253.74</v>
          </cell>
          <cell r="K479">
            <v>5</v>
          </cell>
          <cell r="N479">
            <v>507.48</v>
          </cell>
        </row>
        <row r="480">
          <cell r="D480" t="str">
            <v>Tablet</v>
          </cell>
          <cell r="E480">
            <v>3</v>
          </cell>
          <cell r="F480">
            <v>62.77</v>
          </cell>
          <cell r="K480">
            <v>6</v>
          </cell>
          <cell r="N480">
            <v>188.31</v>
          </cell>
        </row>
        <row r="481">
          <cell r="D481" t="str">
            <v>Monitor</v>
          </cell>
          <cell r="E481">
            <v>4</v>
          </cell>
          <cell r="F481">
            <v>25.29</v>
          </cell>
          <cell r="K481">
            <v>8</v>
          </cell>
          <cell r="N481">
            <v>101.16</v>
          </cell>
        </row>
        <row r="482">
          <cell r="D482" t="str">
            <v>Chair</v>
          </cell>
          <cell r="E482">
            <v>1</v>
          </cell>
          <cell r="F482">
            <v>335.1</v>
          </cell>
          <cell r="K482">
            <v>6</v>
          </cell>
          <cell r="N482">
            <v>335.1</v>
          </cell>
        </row>
        <row r="483">
          <cell r="D483" t="str">
            <v>Laptop</v>
          </cell>
          <cell r="E483">
            <v>4</v>
          </cell>
          <cell r="F483">
            <v>484.85</v>
          </cell>
          <cell r="K483">
            <v>5</v>
          </cell>
          <cell r="N483">
            <v>1939.4</v>
          </cell>
        </row>
        <row r="484">
          <cell r="D484" t="str">
            <v>Monitor</v>
          </cell>
          <cell r="E484">
            <v>3</v>
          </cell>
          <cell r="F484">
            <v>381.41</v>
          </cell>
          <cell r="K484">
            <v>6</v>
          </cell>
          <cell r="N484">
            <v>1144.23</v>
          </cell>
        </row>
        <row r="485">
          <cell r="D485" t="str">
            <v>Phone</v>
          </cell>
          <cell r="E485">
            <v>5</v>
          </cell>
          <cell r="F485">
            <v>347.92</v>
          </cell>
          <cell r="K485">
            <v>6</v>
          </cell>
          <cell r="N485">
            <v>1739.6</v>
          </cell>
        </row>
        <row r="486">
          <cell r="D486" t="str">
            <v>Chair</v>
          </cell>
          <cell r="E486">
            <v>4</v>
          </cell>
          <cell r="F486">
            <v>15.01</v>
          </cell>
          <cell r="K486">
            <v>6</v>
          </cell>
          <cell r="N486">
            <v>60.04</v>
          </cell>
        </row>
        <row r="487">
          <cell r="D487" t="str">
            <v>Chair</v>
          </cell>
          <cell r="E487">
            <v>3</v>
          </cell>
          <cell r="F487">
            <v>404.79</v>
          </cell>
          <cell r="K487">
            <v>6</v>
          </cell>
          <cell r="N487">
            <v>1214.3699999999999</v>
          </cell>
        </row>
        <row r="488">
          <cell r="D488" t="str">
            <v>Printer</v>
          </cell>
          <cell r="E488">
            <v>4</v>
          </cell>
          <cell r="F488">
            <v>611.26</v>
          </cell>
          <cell r="K488">
            <v>5</v>
          </cell>
          <cell r="N488">
            <v>2445.04</v>
          </cell>
        </row>
        <row r="489">
          <cell r="D489" t="str">
            <v>Printer</v>
          </cell>
          <cell r="E489">
            <v>3</v>
          </cell>
          <cell r="F489">
            <v>346.52</v>
          </cell>
          <cell r="K489">
            <v>3</v>
          </cell>
          <cell r="N489">
            <v>1039.56</v>
          </cell>
        </row>
        <row r="490">
          <cell r="D490" t="str">
            <v>Chair</v>
          </cell>
          <cell r="E490">
            <v>1</v>
          </cell>
          <cell r="F490">
            <v>36.65</v>
          </cell>
          <cell r="K490">
            <v>1</v>
          </cell>
          <cell r="N490">
            <v>36.65</v>
          </cell>
        </row>
        <row r="491">
          <cell r="D491" t="str">
            <v>Tablet</v>
          </cell>
          <cell r="E491">
            <v>3</v>
          </cell>
          <cell r="F491">
            <v>149.34</v>
          </cell>
          <cell r="K491">
            <v>7</v>
          </cell>
          <cell r="N491">
            <v>448.02</v>
          </cell>
        </row>
        <row r="492">
          <cell r="D492" t="str">
            <v>Chair</v>
          </cell>
          <cell r="E492">
            <v>5</v>
          </cell>
          <cell r="F492">
            <v>467.81</v>
          </cell>
          <cell r="K492">
            <v>10</v>
          </cell>
          <cell r="N492">
            <v>2339.0500000000002</v>
          </cell>
        </row>
        <row r="493">
          <cell r="D493" t="str">
            <v>Phone</v>
          </cell>
          <cell r="E493">
            <v>5</v>
          </cell>
          <cell r="F493">
            <v>420.7</v>
          </cell>
          <cell r="K493">
            <v>5</v>
          </cell>
          <cell r="N493">
            <v>2103.5</v>
          </cell>
        </row>
        <row r="494">
          <cell r="D494" t="str">
            <v>Laptop</v>
          </cell>
          <cell r="E494">
            <v>5</v>
          </cell>
          <cell r="F494">
            <v>606.52</v>
          </cell>
          <cell r="K494">
            <v>6</v>
          </cell>
          <cell r="N494">
            <v>3032.6</v>
          </cell>
        </row>
        <row r="495">
          <cell r="D495" t="str">
            <v>Phone</v>
          </cell>
          <cell r="E495">
            <v>1</v>
          </cell>
          <cell r="F495">
            <v>420.26</v>
          </cell>
          <cell r="K495">
            <v>4</v>
          </cell>
          <cell r="N495">
            <v>420.26</v>
          </cell>
        </row>
        <row r="496">
          <cell r="D496" t="str">
            <v>Laptop</v>
          </cell>
          <cell r="E496">
            <v>3</v>
          </cell>
          <cell r="F496">
            <v>505.79</v>
          </cell>
          <cell r="K496">
            <v>3</v>
          </cell>
          <cell r="N496">
            <v>1517.37</v>
          </cell>
        </row>
        <row r="497">
          <cell r="D497" t="str">
            <v>Phone</v>
          </cell>
          <cell r="E497">
            <v>4</v>
          </cell>
          <cell r="F497">
            <v>493.73</v>
          </cell>
          <cell r="K497">
            <v>6</v>
          </cell>
          <cell r="N497">
            <v>1974.92</v>
          </cell>
        </row>
        <row r="498">
          <cell r="D498" t="str">
            <v>Printer</v>
          </cell>
          <cell r="E498">
            <v>3</v>
          </cell>
          <cell r="F498">
            <v>201.21</v>
          </cell>
          <cell r="K498">
            <v>3</v>
          </cell>
          <cell r="N498">
            <v>603.63</v>
          </cell>
        </row>
        <row r="499">
          <cell r="D499" t="str">
            <v>Printer</v>
          </cell>
          <cell r="E499">
            <v>3</v>
          </cell>
          <cell r="F499">
            <v>112.29</v>
          </cell>
          <cell r="K499">
            <v>6</v>
          </cell>
          <cell r="N499">
            <v>336.87</v>
          </cell>
        </row>
        <row r="500">
          <cell r="D500" t="str">
            <v>Tablet</v>
          </cell>
          <cell r="E500">
            <v>4</v>
          </cell>
          <cell r="F500">
            <v>132.56</v>
          </cell>
          <cell r="K500">
            <v>8</v>
          </cell>
          <cell r="N500">
            <v>530.24</v>
          </cell>
        </row>
        <row r="501">
          <cell r="D501" t="str">
            <v>Printer</v>
          </cell>
          <cell r="E501">
            <v>3</v>
          </cell>
          <cell r="F501">
            <v>539.46</v>
          </cell>
          <cell r="K501">
            <v>4</v>
          </cell>
          <cell r="N501">
            <v>1618.38</v>
          </cell>
        </row>
        <row r="502">
          <cell r="D502" t="str">
            <v>Laptop</v>
          </cell>
          <cell r="E502">
            <v>5</v>
          </cell>
          <cell r="F502">
            <v>508.59</v>
          </cell>
          <cell r="K502">
            <v>8</v>
          </cell>
          <cell r="N502">
            <v>2542.9499999999998</v>
          </cell>
        </row>
        <row r="503">
          <cell r="D503" t="str">
            <v>Desk</v>
          </cell>
          <cell r="E503">
            <v>4</v>
          </cell>
          <cell r="F503">
            <v>203.46</v>
          </cell>
          <cell r="K503">
            <v>7</v>
          </cell>
          <cell r="N503">
            <v>813.84</v>
          </cell>
        </row>
        <row r="504">
          <cell r="D504" t="str">
            <v>Monitor</v>
          </cell>
          <cell r="E504">
            <v>3</v>
          </cell>
          <cell r="F504">
            <v>565.25</v>
          </cell>
          <cell r="K504">
            <v>7</v>
          </cell>
          <cell r="N504">
            <v>1695.75</v>
          </cell>
        </row>
        <row r="505">
          <cell r="D505" t="str">
            <v>Tablet</v>
          </cell>
          <cell r="E505">
            <v>3</v>
          </cell>
          <cell r="F505">
            <v>136.84</v>
          </cell>
          <cell r="K505">
            <v>4</v>
          </cell>
          <cell r="N505">
            <v>410.52</v>
          </cell>
        </row>
        <row r="506">
          <cell r="D506" t="str">
            <v>Monitor</v>
          </cell>
          <cell r="E506">
            <v>2</v>
          </cell>
          <cell r="F506">
            <v>464.5</v>
          </cell>
          <cell r="K506">
            <v>2</v>
          </cell>
          <cell r="N506">
            <v>929</v>
          </cell>
        </row>
        <row r="507">
          <cell r="D507" t="str">
            <v>Printer</v>
          </cell>
          <cell r="E507">
            <v>2</v>
          </cell>
          <cell r="F507">
            <v>434.97</v>
          </cell>
          <cell r="K507">
            <v>7</v>
          </cell>
          <cell r="N507">
            <v>869.94</v>
          </cell>
        </row>
        <row r="508">
          <cell r="D508" t="str">
            <v>Monitor</v>
          </cell>
          <cell r="E508">
            <v>2</v>
          </cell>
          <cell r="F508">
            <v>43.67</v>
          </cell>
          <cell r="K508">
            <v>4</v>
          </cell>
          <cell r="N508">
            <v>87.34</v>
          </cell>
        </row>
        <row r="509">
          <cell r="D509" t="str">
            <v>Phone</v>
          </cell>
          <cell r="E509">
            <v>1</v>
          </cell>
          <cell r="F509">
            <v>171.59</v>
          </cell>
          <cell r="K509">
            <v>5</v>
          </cell>
          <cell r="N509">
            <v>171.59</v>
          </cell>
        </row>
        <row r="510">
          <cell r="D510" t="str">
            <v>Phone</v>
          </cell>
          <cell r="E510">
            <v>1</v>
          </cell>
          <cell r="F510">
            <v>558.27</v>
          </cell>
          <cell r="K510">
            <v>1</v>
          </cell>
          <cell r="N510">
            <v>558.27</v>
          </cell>
        </row>
        <row r="511">
          <cell r="D511" t="str">
            <v>Laptop</v>
          </cell>
          <cell r="E511">
            <v>2</v>
          </cell>
          <cell r="F511">
            <v>425.03</v>
          </cell>
          <cell r="K511">
            <v>2</v>
          </cell>
          <cell r="N511">
            <v>850.06</v>
          </cell>
        </row>
        <row r="512">
          <cell r="D512" t="str">
            <v>Printer</v>
          </cell>
          <cell r="E512">
            <v>1</v>
          </cell>
          <cell r="F512">
            <v>376.76</v>
          </cell>
          <cell r="K512">
            <v>5</v>
          </cell>
          <cell r="N512">
            <v>376.76</v>
          </cell>
        </row>
        <row r="513">
          <cell r="D513" t="str">
            <v>Monitor</v>
          </cell>
          <cell r="E513">
            <v>5</v>
          </cell>
          <cell r="F513">
            <v>575.24</v>
          </cell>
          <cell r="K513">
            <v>7</v>
          </cell>
          <cell r="N513">
            <v>2876.2</v>
          </cell>
        </row>
        <row r="514">
          <cell r="D514" t="str">
            <v>Desk</v>
          </cell>
          <cell r="E514">
            <v>3</v>
          </cell>
          <cell r="F514">
            <v>568.02</v>
          </cell>
          <cell r="K514">
            <v>3</v>
          </cell>
          <cell r="N514">
            <v>1704.06</v>
          </cell>
        </row>
        <row r="515">
          <cell r="D515" t="str">
            <v>Tablet</v>
          </cell>
          <cell r="E515">
            <v>3</v>
          </cell>
          <cell r="F515">
            <v>94.88</v>
          </cell>
          <cell r="K515">
            <v>8</v>
          </cell>
          <cell r="N515">
            <v>284.64</v>
          </cell>
        </row>
        <row r="516">
          <cell r="D516" t="str">
            <v>Printer</v>
          </cell>
          <cell r="E516">
            <v>3</v>
          </cell>
          <cell r="F516">
            <v>304.14999999999998</v>
          </cell>
          <cell r="K516">
            <v>3</v>
          </cell>
          <cell r="N516">
            <v>912.45</v>
          </cell>
        </row>
        <row r="517">
          <cell r="D517" t="str">
            <v>Phone</v>
          </cell>
          <cell r="E517">
            <v>3</v>
          </cell>
          <cell r="F517">
            <v>553.52</v>
          </cell>
          <cell r="K517">
            <v>4</v>
          </cell>
          <cell r="N517">
            <v>1660.56</v>
          </cell>
        </row>
        <row r="518">
          <cell r="D518" t="str">
            <v>Monitor</v>
          </cell>
          <cell r="E518">
            <v>3</v>
          </cell>
          <cell r="F518">
            <v>166.99</v>
          </cell>
          <cell r="K518">
            <v>8</v>
          </cell>
          <cell r="N518">
            <v>500.97</v>
          </cell>
        </row>
        <row r="519">
          <cell r="D519" t="str">
            <v>Tablet</v>
          </cell>
          <cell r="E519">
            <v>4</v>
          </cell>
          <cell r="F519">
            <v>198.35</v>
          </cell>
          <cell r="K519">
            <v>7</v>
          </cell>
          <cell r="N519">
            <v>793.4</v>
          </cell>
        </row>
        <row r="520">
          <cell r="D520" t="str">
            <v>Printer</v>
          </cell>
          <cell r="E520">
            <v>4</v>
          </cell>
          <cell r="F520">
            <v>403.58</v>
          </cell>
          <cell r="K520">
            <v>9</v>
          </cell>
          <cell r="N520">
            <v>1614.32</v>
          </cell>
        </row>
        <row r="521">
          <cell r="D521" t="str">
            <v>Laptop</v>
          </cell>
          <cell r="E521">
            <v>4</v>
          </cell>
          <cell r="F521">
            <v>464.29</v>
          </cell>
          <cell r="K521">
            <v>5</v>
          </cell>
          <cell r="N521">
            <v>1857.16</v>
          </cell>
        </row>
        <row r="522">
          <cell r="D522" t="str">
            <v>Monitor</v>
          </cell>
          <cell r="E522">
            <v>3</v>
          </cell>
          <cell r="F522">
            <v>635.98</v>
          </cell>
          <cell r="K522">
            <v>5</v>
          </cell>
          <cell r="N522">
            <v>1907.94</v>
          </cell>
        </row>
        <row r="523">
          <cell r="D523" t="str">
            <v>Phone</v>
          </cell>
          <cell r="E523">
            <v>1</v>
          </cell>
          <cell r="F523">
            <v>528.05999999999995</v>
          </cell>
          <cell r="K523">
            <v>2</v>
          </cell>
          <cell r="N523">
            <v>528.05999999999995</v>
          </cell>
        </row>
        <row r="524">
          <cell r="D524" t="str">
            <v>Chair</v>
          </cell>
          <cell r="E524">
            <v>1</v>
          </cell>
          <cell r="F524">
            <v>515.32000000000005</v>
          </cell>
          <cell r="K524">
            <v>1</v>
          </cell>
          <cell r="N524">
            <v>515.32000000000005</v>
          </cell>
        </row>
        <row r="525">
          <cell r="D525" t="str">
            <v>Desk</v>
          </cell>
          <cell r="E525">
            <v>4</v>
          </cell>
          <cell r="F525">
            <v>657.79</v>
          </cell>
          <cell r="K525">
            <v>6</v>
          </cell>
          <cell r="N525">
            <v>2631.16</v>
          </cell>
        </row>
        <row r="526">
          <cell r="D526" t="str">
            <v>Phone</v>
          </cell>
          <cell r="E526">
            <v>1</v>
          </cell>
          <cell r="F526">
            <v>153</v>
          </cell>
          <cell r="K526">
            <v>4</v>
          </cell>
          <cell r="N526">
            <v>153</v>
          </cell>
        </row>
        <row r="527">
          <cell r="D527" t="str">
            <v>Monitor</v>
          </cell>
          <cell r="E527">
            <v>1</v>
          </cell>
          <cell r="F527">
            <v>668.48</v>
          </cell>
          <cell r="K527">
            <v>1</v>
          </cell>
          <cell r="N527">
            <v>668.48</v>
          </cell>
        </row>
        <row r="528">
          <cell r="D528" t="str">
            <v>Desk</v>
          </cell>
          <cell r="E528">
            <v>2</v>
          </cell>
          <cell r="F528">
            <v>46.5</v>
          </cell>
          <cell r="K528">
            <v>7</v>
          </cell>
          <cell r="N528">
            <v>93</v>
          </cell>
        </row>
        <row r="529">
          <cell r="D529" t="str">
            <v>Chair</v>
          </cell>
          <cell r="E529">
            <v>5</v>
          </cell>
          <cell r="F529">
            <v>653.47</v>
          </cell>
          <cell r="K529">
            <v>10</v>
          </cell>
          <cell r="N529">
            <v>3267.35</v>
          </cell>
        </row>
        <row r="530">
          <cell r="D530" t="str">
            <v>Chair</v>
          </cell>
          <cell r="E530">
            <v>1</v>
          </cell>
          <cell r="F530">
            <v>628.89</v>
          </cell>
          <cell r="K530">
            <v>2</v>
          </cell>
          <cell r="N530">
            <v>628.89</v>
          </cell>
        </row>
        <row r="531">
          <cell r="D531" t="str">
            <v>Tablet</v>
          </cell>
          <cell r="E531">
            <v>2</v>
          </cell>
          <cell r="F531">
            <v>675.1</v>
          </cell>
          <cell r="K531">
            <v>4</v>
          </cell>
          <cell r="N531">
            <v>1350.2</v>
          </cell>
        </row>
        <row r="532">
          <cell r="D532" t="str">
            <v>Chair</v>
          </cell>
          <cell r="E532">
            <v>4</v>
          </cell>
          <cell r="F532">
            <v>89.41</v>
          </cell>
          <cell r="K532">
            <v>9</v>
          </cell>
          <cell r="N532">
            <v>357.64</v>
          </cell>
        </row>
        <row r="533">
          <cell r="D533" t="str">
            <v>Desk</v>
          </cell>
          <cell r="E533">
            <v>5</v>
          </cell>
          <cell r="F533">
            <v>320.01</v>
          </cell>
          <cell r="K533">
            <v>6</v>
          </cell>
          <cell r="N533">
            <v>1600.05</v>
          </cell>
        </row>
        <row r="534">
          <cell r="D534" t="str">
            <v>Laptop</v>
          </cell>
          <cell r="E534">
            <v>2</v>
          </cell>
          <cell r="F534">
            <v>41</v>
          </cell>
          <cell r="K534">
            <v>7</v>
          </cell>
          <cell r="N534">
            <v>82</v>
          </cell>
        </row>
        <row r="535">
          <cell r="D535" t="str">
            <v>Desk</v>
          </cell>
          <cell r="E535">
            <v>1</v>
          </cell>
          <cell r="F535">
            <v>565.85</v>
          </cell>
          <cell r="K535">
            <v>1</v>
          </cell>
          <cell r="N535">
            <v>565.85</v>
          </cell>
        </row>
        <row r="536">
          <cell r="D536" t="str">
            <v>Chair</v>
          </cell>
          <cell r="E536">
            <v>3</v>
          </cell>
          <cell r="F536">
            <v>648.59</v>
          </cell>
          <cell r="K536">
            <v>4</v>
          </cell>
          <cell r="N536">
            <v>1945.77</v>
          </cell>
        </row>
        <row r="537">
          <cell r="D537" t="str">
            <v>Monitor</v>
          </cell>
          <cell r="E537">
            <v>3</v>
          </cell>
          <cell r="F537">
            <v>68.12</v>
          </cell>
          <cell r="K537">
            <v>3</v>
          </cell>
          <cell r="N537">
            <v>204.36</v>
          </cell>
        </row>
        <row r="538">
          <cell r="D538" t="str">
            <v>Chair</v>
          </cell>
          <cell r="E538">
            <v>1</v>
          </cell>
          <cell r="F538">
            <v>616.1</v>
          </cell>
          <cell r="K538">
            <v>6</v>
          </cell>
          <cell r="N538">
            <v>616.1</v>
          </cell>
        </row>
        <row r="539">
          <cell r="D539" t="str">
            <v>Tablet</v>
          </cell>
          <cell r="E539">
            <v>3</v>
          </cell>
          <cell r="F539">
            <v>247.47</v>
          </cell>
          <cell r="K539">
            <v>4</v>
          </cell>
          <cell r="N539">
            <v>742.41</v>
          </cell>
        </row>
        <row r="540">
          <cell r="D540" t="str">
            <v>Phone</v>
          </cell>
          <cell r="E540">
            <v>3</v>
          </cell>
          <cell r="F540">
            <v>490.74</v>
          </cell>
          <cell r="K540">
            <v>3</v>
          </cell>
          <cell r="N540">
            <v>1472.22</v>
          </cell>
        </row>
        <row r="541">
          <cell r="D541" t="str">
            <v>Desk</v>
          </cell>
          <cell r="E541">
            <v>3</v>
          </cell>
          <cell r="F541">
            <v>531.72</v>
          </cell>
          <cell r="K541">
            <v>7</v>
          </cell>
          <cell r="N541">
            <v>1595.16</v>
          </cell>
        </row>
        <row r="542">
          <cell r="D542" t="str">
            <v>Laptop</v>
          </cell>
          <cell r="E542">
            <v>5</v>
          </cell>
          <cell r="F542">
            <v>648.65</v>
          </cell>
          <cell r="K542">
            <v>7</v>
          </cell>
          <cell r="N542">
            <v>3243.25</v>
          </cell>
        </row>
        <row r="543">
          <cell r="D543" t="str">
            <v>Printer</v>
          </cell>
          <cell r="E543">
            <v>5</v>
          </cell>
          <cell r="F543">
            <v>456.06</v>
          </cell>
          <cell r="K543">
            <v>10</v>
          </cell>
          <cell r="N543">
            <v>2280.3000000000002</v>
          </cell>
        </row>
        <row r="544">
          <cell r="D544" t="str">
            <v>Tablet</v>
          </cell>
          <cell r="E544">
            <v>1</v>
          </cell>
          <cell r="F544">
            <v>17.98</v>
          </cell>
          <cell r="K544">
            <v>6</v>
          </cell>
          <cell r="N544">
            <v>17.98</v>
          </cell>
        </row>
        <row r="545">
          <cell r="D545" t="str">
            <v>Desk</v>
          </cell>
          <cell r="E545">
            <v>5</v>
          </cell>
          <cell r="F545">
            <v>269.86</v>
          </cell>
          <cell r="K545">
            <v>6</v>
          </cell>
          <cell r="N545">
            <v>1349.3</v>
          </cell>
        </row>
        <row r="546">
          <cell r="D546" t="str">
            <v>Printer</v>
          </cell>
          <cell r="E546">
            <v>5</v>
          </cell>
          <cell r="F546">
            <v>31.96</v>
          </cell>
          <cell r="K546">
            <v>5</v>
          </cell>
          <cell r="N546">
            <v>159.80000000000001</v>
          </cell>
        </row>
        <row r="547">
          <cell r="D547" t="str">
            <v>Monitor</v>
          </cell>
          <cell r="E547">
            <v>2</v>
          </cell>
          <cell r="F547">
            <v>98.47</v>
          </cell>
          <cell r="K547">
            <v>3</v>
          </cell>
          <cell r="N547">
            <v>196.94</v>
          </cell>
        </row>
        <row r="548">
          <cell r="D548" t="str">
            <v>Monitor</v>
          </cell>
          <cell r="E548">
            <v>1</v>
          </cell>
          <cell r="F548">
            <v>158.68</v>
          </cell>
          <cell r="K548">
            <v>6</v>
          </cell>
          <cell r="N548">
            <v>158.68</v>
          </cell>
        </row>
        <row r="549">
          <cell r="D549" t="str">
            <v>Phone</v>
          </cell>
          <cell r="E549">
            <v>1</v>
          </cell>
          <cell r="F549">
            <v>613.98</v>
          </cell>
          <cell r="K549">
            <v>4</v>
          </cell>
          <cell r="N549">
            <v>613.98</v>
          </cell>
        </row>
        <row r="550">
          <cell r="D550" t="str">
            <v>Printer</v>
          </cell>
          <cell r="E550">
            <v>3</v>
          </cell>
          <cell r="F550">
            <v>426.12</v>
          </cell>
          <cell r="K550">
            <v>5</v>
          </cell>
          <cell r="N550">
            <v>1278.3599999999999</v>
          </cell>
        </row>
        <row r="551">
          <cell r="D551" t="str">
            <v>Monitor</v>
          </cell>
          <cell r="E551">
            <v>4</v>
          </cell>
          <cell r="F551">
            <v>629.88</v>
          </cell>
          <cell r="K551">
            <v>8</v>
          </cell>
          <cell r="N551">
            <v>2519.52</v>
          </cell>
        </row>
        <row r="552">
          <cell r="D552" t="str">
            <v>Laptop</v>
          </cell>
          <cell r="E552">
            <v>4</v>
          </cell>
          <cell r="F552">
            <v>228.91</v>
          </cell>
          <cell r="K552">
            <v>4</v>
          </cell>
          <cell r="N552">
            <v>915.64</v>
          </cell>
        </row>
        <row r="553">
          <cell r="D553" t="str">
            <v>Laptop</v>
          </cell>
          <cell r="E553">
            <v>1</v>
          </cell>
          <cell r="F553">
            <v>120.98</v>
          </cell>
          <cell r="K553">
            <v>6</v>
          </cell>
          <cell r="N553">
            <v>120.98</v>
          </cell>
        </row>
        <row r="554">
          <cell r="D554" t="str">
            <v>Chair</v>
          </cell>
          <cell r="E554">
            <v>4</v>
          </cell>
          <cell r="F554">
            <v>425.18</v>
          </cell>
          <cell r="K554">
            <v>8</v>
          </cell>
          <cell r="N554">
            <v>1700.72</v>
          </cell>
        </row>
        <row r="555">
          <cell r="D555" t="str">
            <v>Phone</v>
          </cell>
          <cell r="E555">
            <v>2</v>
          </cell>
          <cell r="F555">
            <v>333.83</v>
          </cell>
          <cell r="K555">
            <v>4</v>
          </cell>
          <cell r="N555">
            <v>667.66</v>
          </cell>
        </row>
        <row r="556">
          <cell r="D556" t="str">
            <v>Laptop</v>
          </cell>
          <cell r="E556">
            <v>2</v>
          </cell>
          <cell r="F556">
            <v>492.9</v>
          </cell>
          <cell r="K556">
            <v>5</v>
          </cell>
          <cell r="N556">
            <v>985.8</v>
          </cell>
        </row>
        <row r="557">
          <cell r="D557" t="str">
            <v>Tablet</v>
          </cell>
          <cell r="E557">
            <v>1</v>
          </cell>
          <cell r="F557">
            <v>92.04</v>
          </cell>
          <cell r="K557">
            <v>2</v>
          </cell>
          <cell r="N557">
            <v>92.04</v>
          </cell>
        </row>
        <row r="558">
          <cell r="D558" t="str">
            <v>Laptop</v>
          </cell>
          <cell r="E558">
            <v>1</v>
          </cell>
          <cell r="F558">
            <v>654.27</v>
          </cell>
          <cell r="K558">
            <v>2</v>
          </cell>
          <cell r="N558">
            <v>654.27</v>
          </cell>
        </row>
        <row r="559">
          <cell r="D559" t="str">
            <v>Tablet</v>
          </cell>
          <cell r="E559">
            <v>1</v>
          </cell>
          <cell r="F559">
            <v>56.2</v>
          </cell>
          <cell r="K559">
            <v>1</v>
          </cell>
          <cell r="N559">
            <v>56.2</v>
          </cell>
        </row>
        <row r="560">
          <cell r="D560" t="str">
            <v>Phone</v>
          </cell>
          <cell r="E560">
            <v>4</v>
          </cell>
          <cell r="F560">
            <v>628.12</v>
          </cell>
          <cell r="K560">
            <v>6</v>
          </cell>
          <cell r="N560">
            <v>2512.48</v>
          </cell>
        </row>
        <row r="561">
          <cell r="D561" t="str">
            <v>Desk</v>
          </cell>
          <cell r="E561">
            <v>3</v>
          </cell>
          <cell r="F561">
            <v>157.4</v>
          </cell>
          <cell r="K561">
            <v>7</v>
          </cell>
          <cell r="N561">
            <v>472.2</v>
          </cell>
        </row>
        <row r="562">
          <cell r="D562" t="str">
            <v>Monitor</v>
          </cell>
          <cell r="E562">
            <v>4</v>
          </cell>
          <cell r="F562">
            <v>588.85</v>
          </cell>
          <cell r="K562">
            <v>7</v>
          </cell>
          <cell r="N562">
            <v>2355.4</v>
          </cell>
        </row>
        <row r="563">
          <cell r="D563" t="str">
            <v>Printer</v>
          </cell>
          <cell r="E563">
            <v>2</v>
          </cell>
          <cell r="F563">
            <v>494.78</v>
          </cell>
          <cell r="K563">
            <v>2</v>
          </cell>
          <cell r="N563">
            <v>989.56</v>
          </cell>
        </row>
        <row r="564">
          <cell r="D564" t="str">
            <v>Laptop</v>
          </cell>
          <cell r="E564">
            <v>3</v>
          </cell>
          <cell r="F564">
            <v>663.93</v>
          </cell>
          <cell r="K564">
            <v>6</v>
          </cell>
          <cell r="N564">
            <v>1991.79</v>
          </cell>
        </row>
        <row r="565">
          <cell r="D565" t="str">
            <v>Laptop</v>
          </cell>
          <cell r="E565">
            <v>1</v>
          </cell>
          <cell r="F565">
            <v>132.68</v>
          </cell>
          <cell r="K565">
            <v>1</v>
          </cell>
          <cell r="N565">
            <v>132.68</v>
          </cell>
        </row>
        <row r="566">
          <cell r="D566" t="str">
            <v>Desk</v>
          </cell>
          <cell r="E566">
            <v>5</v>
          </cell>
          <cell r="F566">
            <v>364.28</v>
          </cell>
          <cell r="K566">
            <v>5</v>
          </cell>
          <cell r="N566">
            <v>1821.4</v>
          </cell>
        </row>
        <row r="567">
          <cell r="D567" t="str">
            <v>Tablet</v>
          </cell>
          <cell r="E567">
            <v>5</v>
          </cell>
          <cell r="F567">
            <v>307.98</v>
          </cell>
          <cell r="K567">
            <v>10</v>
          </cell>
          <cell r="N567">
            <v>1539.9</v>
          </cell>
        </row>
        <row r="568">
          <cell r="D568" t="str">
            <v>Phone</v>
          </cell>
          <cell r="E568">
            <v>4</v>
          </cell>
          <cell r="F568">
            <v>162.71</v>
          </cell>
          <cell r="K568">
            <v>7</v>
          </cell>
          <cell r="N568">
            <v>650.84</v>
          </cell>
        </row>
        <row r="569">
          <cell r="D569" t="str">
            <v>Chair</v>
          </cell>
          <cell r="E569">
            <v>5</v>
          </cell>
          <cell r="F569">
            <v>492.94</v>
          </cell>
          <cell r="K569">
            <v>10</v>
          </cell>
          <cell r="N569">
            <v>2464.6999999999998</v>
          </cell>
        </row>
        <row r="570">
          <cell r="D570" t="str">
            <v>Laptop</v>
          </cell>
          <cell r="E570">
            <v>2</v>
          </cell>
          <cell r="F570">
            <v>343.99</v>
          </cell>
          <cell r="K570">
            <v>4</v>
          </cell>
          <cell r="N570">
            <v>687.98</v>
          </cell>
        </row>
        <row r="571">
          <cell r="D571" t="str">
            <v>Desk</v>
          </cell>
          <cell r="E571">
            <v>5</v>
          </cell>
          <cell r="F571">
            <v>250.68</v>
          </cell>
          <cell r="K571">
            <v>8</v>
          </cell>
          <cell r="N571">
            <v>1253.4000000000001</v>
          </cell>
        </row>
        <row r="572">
          <cell r="D572" t="str">
            <v>Desk</v>
          </cell>
          <cell r="E572">
            <v>2</v>
          </cell>
          <cell r="F572">
            <v>362.14</v>
          </cell>
          <cell r="K572">
            <v>2</v>
          </cell>
          <cell r="N572">
            <v>724.28</v>
          </cell>
        </row>
        <row r="573">
          <cell r="D573" t="str">
            <v>Tablet</v>
          </cell>
          <cell r="E573">
            <v>1</v>
          </cell>
          <cell r="F573">
            <v>214.08</v>
          </cell>
          <cell r="K573">
            <v>2</v>
          </cell>
          <cell r="N573">
            <v>214.08</v>
          </cell>
        </row>
        <row r="574">
          <cell r="D574" t="str">
            <v>Printer</v>
          </cell>
          <cell r="E574">
            <v>1</v>
          </cell>
          <cell r="F574">
            <v>70.319999999999993</v>
          </cell>
          <cell r="K574">
            <v>4</v>
          </cell>
          <cell r="N574">
            <v>70.319999999999993</v>
          </cell>
        </row>
        <row r="575">
          <cell r="D575" t="str">
            <v>Chair</v>
          </cell>
          <cell r="E575">
            <v>5</v>
          </cell>
          <cell r="F575">
            <v>421.42</v>
          </cell>
          <cell r="K575">
            <v>7</v>
          </cell>
          <cell r="N575">
            <v>2107.1</v>
          </cell>
        </row>
        <row r="576">
          <cell r="D576" t="str">
            <v>Chair</v>
          </cell>
          <cell r="E576">
            <v>5</v>
          </cell>
          <cell r="F576">
            <v>384.69</v>
          </cell>
          <cell r="K576">
            <v>6</v>
          </cell>
          <cell r="N576">
            <v>1923.45</v>
          </cell>
        </row>
        <row r="577">
          <cell r="D577" t="str">
            <v>Chair</v>
          </cell>
          <cell r="E577">
            <v>5</v>
          </cell>
          <cell r="F577">
            <v>448.15</v>
          </cell>
          <cell r="K577">
            <v>7</v>
          </cell>
          <cell r="N577">
            <v>2240.75</v>
          </cell>
        </row>
        <row r="578">
          <cell r="D578" t="str">
            <v>Laptop</v>
          </cell>
          <cell r="E578">
            <v>5</v>
          </cell>
          <cell r="F578">
            <v>79.08</v>
          </cell>
          <cell r="K578">
            <v>8</v>
          </cell>
          <cell r="N578">
            <v>395.4</v>
          </cell>
        </row>
        <row r="579">
          <cell r="D579" t="str">
            <v>Tablet</v>
          </cell>
          <cell r="E579">
            <v>4</v>
          </cell>
          <cell r="F579">
            <v>185.41</v>
          </cell>
          <cell r="K579">
            <v>9</v>
          </cell>
          <cell r="N579">
            <v>741.64</v>
          </cell>
        </row>
        <row r="580">
          <cell r="D580" t="str">
            <v>Monitor</v>
          </cell>
          <cell r="E580">
            <v>5</v>
          </cell>
          <cell r="F580">
            <v>566.07000000000005</v>
          </cell>
          <cell r="K580">
            <v>6</v>
          </cell>
          <cell r="N580">
            <v>2830.35</v>
          </cell>
        </row>
        <row r="581">
          <cell r="D581" t="str">
            <v>Tablet</v>
          </cell>
          <cell r="E581">
            <v>2</v>
          </cell>
          <cell r="F581">
            <v>187.88</v>
          </cell>
          <cell r="K581">
            <v>4</v>
          </cell>
          <cell r="N581">
            <v>375.76</v>
          </cell>
        </row>
        <row r="582">
          <cell r="D582" t="str">
            <v>Monitor</v>
          </cell>
          <cell r="E582">
            <v>2</v>
          </cell>
          <cell r="F582">
            <v>255.99</v>
          </cell>
          <cell r="K582">
            <v>4</v>
          </cell>
          <cell r="N582">
            <v>511.98</v>
          </cell>
        </row>
        <row r="583">
          <cell r="D583" t="str">
            <v>Laptop</v>
          </cell>
          <cell r="E583">
            <v>1</v>
          </cell>
          <cell r="F583">
            <v>627.34</v>
          </cell>
          <cell r="K583">
            <v>1</v>
          </cell>
          <cell r="N583">
            <v>627.34</v>
          </cell>
        </row>
        <row r="584">
          <cell r="D584" t="str">
            <v>Tablet</v>
          </cell>
          <cell r="E584">
            <v>3</v>
          </cell>
          <cell r="F584">
            <v>474.14</v>
          </cell>
          <cell r="K584">
            <v>8</v>
          </cell>
          <cell r="N584">
            <v>1422.42</v>
          </cell>
        </row>
        <row r="585">
          <cell r="D585" t="str">
            <v>Chair</v>
          </cell>
          <cell r="E585">
            <v>3</v>
          </cell>
          <cell r="F585">
            <v>154.37</v>
          </cell>
          <cell r="K585">
            <v>4</v>
          </cell>
          <cell r="N585">
            <v>463.11</v>
          </cell>
        </row>
        <row r="586">
          <cell r="D586" t="str">
            <v>Chair</v>
          </cell>
          <cell r="E586">
            <v>4</v>
          </cell>
          <cell r="F586">
            <v>145.05000000000001</v>
          </cell>
          <cell r="K586">
            <v>6</v>
          </cell>
          <cell r="N586">
            <v>580.20000000000005</v>
          </cell>
        </row>
        <row r="587">
          <cell r="D587" t="str">
            <v>Tablet</v>
          </cell>
          <cell r="E587">
            <v>4</v>
          </cell>
          <cell r="F587">
            <v>67.08</v>
          </cell>
          <cell r="K587">
            <v>8</v>
          </cell>
          <cell r="N587">
            <v>268.32</v>
          </cell>
        </row>
        <row r="588">
          <cell r="D588" t="str">
            <v>Monitor</v>
          </cell>
          <cell r="E588">
            <v>1</v>
          </cell>
          <cell r="F588">
            <v>522.08000000000004</v>
          </cell>
          <cell r="K588">
            <v>5</v>
          </cell>
          <cell r="N588">
            <v>522.08000000000004</v>
          </cell>
        </row>
        <row r="589">
          <cell r="D589" t="str">
            <v>Monitor</v>
          </cell>
          <cell r="E589">
            <v>5</v>
          </cell>
          <cell r="F589">
            <v>514.6</v>
          </cell>
          <cell r="K589">
            <v>10</v>
          </cell>
          <cell r="N589">
            <v>2573</v>
          </cell>
        </row>
        <row r="590">
          <cell r="D590" t="str">
            <v>Monitor</v>
          </cell>
          <cell r="E590">
            <v>4</v>
          </cell>
          <cell r="F590">
            <v>577.82000000000005</v>
          </cell>
          <cell r="K590">
            <v>9</v>
          </cell>
          <cell r="N590">
            <v>2311.2800000000002</v>
          </cell>
        </row>
        <row r="591">
          <cell r="D591" t="str">
            <v>Laptop</v>
          </cell>
          <cell r="E591">
            <v>2</v>
          </cell>
          <cell r="F591">
            <v>500.8</v>
          </cell>
          <cell r="K591">
            <v>3</v>
          </cell>
          <cell r="N591">
            <v>1001.6</v>
          </cell>
        </row>
        <row r="592">
          <cell r="D592" t="str">
            <v>Printer</v>
          </cell>
          <cell r="E592">
            <v>2</v>
          </cell>
          <cell r="F592">
            <v>461.13</v>
          </cell>
          <cell r="K592">
            <v>4</v>
          </cell>
          <cell r="N592">
            <v>922.26</v>
          </cell>
        </row>
        <row r="593">
          <cell r="D593" t="str">
            <v>Laptop</v>
          </cell>
          <cell r="E593">
            <v>1</v>
          </cell>
          <cell r="F593">
            <v>605.28</v>
          </cell>
          <cell r="K593">
            <v>3</v>
          </cell>
          <cell r="N593">
            <v>605.28</v>
          </cell>
        </row>
        <row r="594">
          <cell r="D594" t="str">
            <v>Phone</v>
          </cell>
          <cell r="E594">
            <v>3</v>
          </cell>
          <cell r="F594">
            <v>204.27</v>
          </cell>
          <cell r="K594">
            <v>4</v>
          </cell>
          <cell r="N594">
            <v>612.80999999999995</v>
          </cell>
        </row>
        <row r="595">
          <cell r="D595" t="str">
            <v>Monitor</v>
          </cell>
          <cell r="E595">
            <v>1</v>
          </cell>
          <cell r="F595">
            <v>489.8</v>
          </cell>
          <cell r="K595">
            <v>4</v>
          </cell>
          <cell r="N595">
            <v>489.8</v>
          </cell>
        </row>
        <row r="596">
          <cell r="D596" t="str">
            <v>Phone</v>
          </cell>
          <cell r="E596">
            <v>5</v>
          </cell>
          <cell r="F596">
            <v>72.64</v>
          </cell>
          <cell r="K596">
            <v>7</v>
          </cell>
          <cell r="N596">
            <v>363.2</v>
          </cell>
        </row>
        <row r="597">
          <cell r="D597" t="str">
            <v>Printer</v>
          </cell>
          <cell r="E597">
            <v>2</v>
          </cell>
          <cell r="F597">
            <v>385.16</v>
          </cell>
          <cell r="K597">
            <v>7</v>
          </cell>
          <cell r="N597">
            <v>770.32</v>
          </cell>
        </row>
        <row r="598">
          <cell r="D598" t="str">
            <v>Desk</v>
          </cell>
          <cell r="E598">
            <v>3</v>
          </cell>
          <cell r="F598">
            <v>606.41</v>
          </cell>
          <cell r="K598">
            <v>7</v>
          </cell>
          <cell r="N598">
            <v>1819.23</v>
          </cell>
        </row>
        <row r="599">
          <cell r="D599" t="str">
            <v>Desk</v>
          </cell>
          <cell r="E599">
            <v>2</v>
          </cell>
          <cell r="F599">
            <v>211.82</v>
          </cell>
          <cell r="K599">
            <v>4</v>
          </cell>
          <cell r="N599">
            <v>423.64</v>
          </cell>
        </row>
        <row r="600">
          <cell r="D600" t="str">
            <v>Desk</v>
          </cell>
          <cell r="E600">
            <v>5</v>
          </cell>
          <cell r="F600">
            <v>495.35</v>
          </cell>
          <cell r="K600">
            <v>5</v>
          </cell>
          <cell r="N600">
            <v>2476.75</v>
          </cell>
        </row>
        <row r="601">
          <cell r="D601" t="str">
            <v>Chair</v>
          </cell>
          <cell r="E601">
            <v>3</v>
          </cell>
          <cell r="F601">
            <v>556.99</v>
          </cell>
          <cell r="K601">
            <v>4</v>
          </cell>
          <cell r="N601">
            <v>1670.97</v>
          </cell>
        </row>
        <row r="602">
          <cell r="D602" t="str">
            <v>Printer</v>
          </cell>
          <cell r="E602">
            <v>1</v>
          </cell>
          <cell r="F602">
            <v>72.31</v>
          </cell>
          <cell r="K602">
            <v>1</v>
          </cell>
          <cell r="N602">
            <v>72.31</v>
          </cell>
        </row>
        <row r="603">
          <cell r="D603" t="str">
            <v>Monitor</v>
          </cell>
          <cell r="E603">
            <v>5</v>
          </cell>
          <cell r="F603">
            <v>24.82</v>
          </cell>
          <cell r="K603">
            <v>10</v>
          </cell>
          <cell r="N603">
            <v>124.1</v>
          </cell>
        </row>
        <row r="604">
          <cell r="D604" t="str">
            <v>Tablet</v>
          </cell>
          <cell r="E604">
            <v>4</v>
          </cell>
          <cell r="F604">
            <v>26.04</v>
          </cell>
          <cell r="K604">
            <v>5</v>
          </cell>
          <cell r="N604">
            <v>104.16</v>
          </cell>
        </row>
        <row r="605">
          <cell r="D605" t="str">
            <v>Tablet</v>
          </cell>
          <cell r="E605">
            <v>1</v>
          </cell>
          <cell r="F605">
            <v>657.07</v>
          </cell>
          <cell r="K605">
            <v>4</v>
          </cell>
          <cell r="N605">
            <v>657.07</v>
          </cell>
        </row>
        <row r="606">
          <cell r="D606" t="str">
            <v>Chair</v>
          </cell>
          <cell r="E606">
            <v>3</v>
          </cell>
          <cell r="F606">
            <v>32.619999999999997</v>
          </cell>
          <cell r="K606">
            <v>6</v>
          </cell>
          <cell r="N606">
            <v>97.86</v>
          </cell>
        </row>
        <row r="607">
          <cell r="D607" t="str">
            <v>Monitor</v>
          </cell>
          <cell r="E607">
            <v>2</v>
          </cell>
          <cell r="F607">
            <v>228.91</v>
          </cell>
          <cell r="K607">
            <v>4</v>
          </cell>
          <cell r="N607">
            <v>457.82</v>
          </cell>
        </row>
        <row r="608">
          <cell r="D608" t="str">
            <v>Laptop</v>
          </cell>
          <cell r="E608">
            <v>3</v>
          </cell>
          <cell r="F608">
            <v>274.75</v>
          </cell>
          <cell r="K608">
            <v>3</v>
          </cell>
          <cell r="N608">
            <v>824.25</v>
          </cell>
        </row>
        <row r="609">
          <cell r="D609" t="str">
            <v>Printer</v>
          </cell>
          <cell r="E609">
            <v>4</v>
          </cell>
          <cell r="F609">
            <v>634.04999999999995</v>
          </cell>
          <cell r="K609">
            <v>6</v>
          </cell>
          <cell r="N609">
            <v>2536.1999999999998</v>
          </cell>
        </row>
        <row r="610">
          <cell r="D610" t="str">
            <v>Laptop</v>
          </cell>
          <cell r="E610">
            <v>5</v>
          </cell>
          <cell r="F610">
            <v>543.16</v>
          </cell>
          <cell r="K610">
            <v>6</v>
          </cell>
          <cell r="N610">
            <v>2715.8</v>
          </cell>
        </row>
        <row r="611">
          <cell r="D611" t="str">
            <v>Chair</v>
          </cell>
          <cell r="E611">
            <v>3</v>
          </cell>
          <cell r="F611">
            <v>449.13</v>
          </cell>
          <cell r="K611">
            <v>5</v>
          </cell>
          <cell r="N611">
            <v>1347.39</v>
          </cell>
        </row>
        <row r="612">
          <cell r="D612" t="str">
            <v>Desk</v>
          </cell>
          <cell r="E612">
            <v>5</v>
          </cell>
          <cell r="F612">
            <v>389.62</v>
          </cell>
          <cell r="K612">
            <v>7</v>
          </cell>
          <cell r="N612">
            <v>1948.1</v>
          </cell>
        </row>
        <row r="613">
          <cell r="D613" t="str">
            <v>Desk</v>
          </cell>
          <cell r="E613">
            <v>1</v>
          </cell>
          <cell r="F613">
            <v>305.17</v>
          </cell>
          <cell r="K613">
            <v>3</v>
          </cell>
          <cell r="N613">
            <v>305.17</v>
          </cell>
        </row>
        <row r="614">
          <cell r="D614" t="str">
            <v>Chair</v>
          </cell>
          <cell r="E614">
            <v>3</v>
          </cell>
          <cell r="F614">
            <v>445.12</v>
          </cell>
          <cell r="K614">
            <v>8</v>
          </cell>
          <cell r="N614">
            <v>1335.36</v>
          </cell>
        </row>
        <row r="615">
          <cell r="D615" t="str">
            <v>Laptop</v>
          </cell>
          <cell r="E615">
            <v>2</v>
          </cell>
          <cell r="F615">
            <v>230.36</v>
          </cell>
          <cell r="K615">
            <v>4</v>
          </cell>
          <cell r="N615">
            <v>460.72</v>
          </cell>
        </row>
        <row r="616">
          <cell r="D616" t="str">
            <v>Phone</v>
          </cell>
          <cell r="E616">
            <v>1</v>
          </cell>
          <cell r="F616">
            <v>96.81</v>
          </cell>
          <cell r="K616">
            <v>3</v>
          </cell>
          <cell r="N616">
            <v>96.81</v>
          </cell>
        </row>
        <row r="617">
          <cell r="D617" t="str">
            <v>Monitor</v>
          </cell>
          <cell r="E617">
            <v>5</v>
          </cell>
          <cell r="F617">
            <v>460.14</v>
          </cell>
          <cell r="K617">
            <v>10</v>
          </cell>
          <cell r="N617">
            <v>2300.6999999999998</v>
          </cell>
        </row>
        <row r="618">
          <cell r="D618" t="str">
            <v>Tablet</v>
          </cell>
          <cell r="E618">
            <v>3</v>
          </cell>
          <cell r="F618">
            <v>601.6</v>
          </cell>
          <cell r="K618">
            <v>7</v>
          </cell>
          <cell r="N618">
            <v>1804.8</v>
          </cell>
        </row>
        <row r="619">
          <cell r="D619" t="str">
            <v>Tablet</v>
          </cell>
          <cell r="E619">
            <v>3</v>
          </cell>
          <cell r="F619">
            <v>184.47</v>
          </cell>
          <cell r="K619">
            <v>4</v>
          </cell>
          <cell r="N619">
            <v>553.41</v>
          </cell>
        </row>
        <row r="620">
          <cell r="D620" t="str">
            <v>Tablet</v>
          </cell>
          <cell r="E620">
            <v>1</v>
          </cell>
          <cell r="F620">
            <v>411.34</v>
          </cell>
          <cell r="K620">
            <v>5</v>
          </cell>
          <cell r="N620">
            <v>411.34</v>
          </cell>
        </row>
        <row r="621">
          <cell r="D621" t="str">
            <v>Laptop</v>
          </cell>
          <cell r="E621">
            <v>1</v>
          </cell>
          <cell r="F621">
            <v>532.89</v>
          </cell>
          <cell r="K621">
            <v>2</v>
          </cell>
          <cell r="N621">
            <v>532.89</v>
          </cell>
        </row>
        <row r="622">
          <cell r="D622" t="str">
            <v>Tablet</v>
          </cell>
          <cell r="E622">
            <v>3</v>
          </cell>
          <cell r="F622">
            <v>136.34</v>
          </cell>
          <cell r="K622">
            <v>8</v>
          </cell>
          <cell r="N622">
            <v>409.02</v>
          </cell>
        </row>
        <row r="623">
          <cell r="D623" t="str">
            <v>Phone</v>
          </cell>
          <cell r="E623">
            <v>5</v>
          </cell>
          <cell r="F623">
            <v>476.01</v>
          </cell>
          <cell r="K623">
            <v>7</v>
          </cell>
          <cell r="N623">
            <v>2380.0500000000002</v>
          </cell>
        </row>
        <row r="624">
          <cell r="D624" t="str">
            <v>Desk</v>
          </cell>
          <cell r="E624">
            <v>5</v>
          </cell>
          <cell r="F624">
            <v>236.38</v>
          </cell>
          <cell r="K624">
            <v>7</v>
          </cell>
          <cell r="N624">
            <v>1181.9000000000001</v>
          </cell>
        </row>
        <row r="625">
          <cell r="D625" t="str">
            <v>Printer</v>
          </cell>
          <cell r="E625">
            <v>3</v>
          </cell>
          <cell r="F625">
            <v>396</v>
          </cell>
          <cell r="K625">
            <v>4</v>
          </cell>
          <cell r="N625">
            <v>1188</v>
          </cell>
        </row>
        <row r="626">
          <cell r="D626" t="str">
            <v>Tablet</v>
          </cell>
          <cell r="E626">
            <v>5</v>
          </cell>
          <cell r="F626">
            <v>341.96</v>
          </cell>
          <cell r="K626">
            <v>6</v>
          </cell>
          <cell r="N626">
            <v>1709.8</v>
          </cell>
        </row>
        <row r="627">
          <cell r="D627" t="str">
            <v>Tablet</v>
          </cell>
          <cell r="E627">
            <v>1</v>
          </cell>
          <cell r="F627">
            <v>672.89</v>
          </cell>
          <cell r="K627">
            <v>1</v>
          </cell>
          <cell r="N627">
            <v>672.89</v>
          </cell>
        </row>
        <row r="628">
          <cell r="D628" t="str">
            <v>Tablet</v>
          </cell>
          <cell r="E628">
            <v>2</v>
          </cell>
          <cell r="F628">
            <v>657.48</v>
          </cell>
          <cell r="K628">
            <v>5</v>
          </cell>
          <cell r="N628">
            <v>1314.96</v>
          </cell>
        </row>
        <row r="629">
          <cell r="D629" t="str">
            <v>Chair</v>
          </cell>
          <cell r="E629">
            <v>3</v>
          </cell>
          <cell r="F629">
            <v>498.68</v>
          </cell>
          <cell r="K629">
            <v>4</v>
          </cell>
          <cell r="N629">
            <v>1496.04</v>
          </cell>
        </row>
        <row r="630">
          <cell r="D630" t="str">
            <v>Printer</v>
          </cell>
          <cell r="E630">
            <v>5</v>
          </cell>
          <cell r="F630">
            <v>558.63</v>
          </cell>
          <cell r="K630">
            <v>8</v>
          </cell>
          <cell r="N630">
            <v>2793.15</v>
          </cell>
        </row>
        <row r="631">
          <cell r="D631" t="str">
            <v>Phone</v>
          </cell>
          <cell r="E631">
            <v>3</v>
          </cell>
          <cell r="F631">
            <v>19.73</v>
          </cell>
          <cell r="K631">
            <v>3</v>
          </cell>
          <cell r="N631">
            <v>59.19</v>
          </cell>
        </row>
        <row r="632">
          <cell r="D632" t="str">
            <v>Monitor</v>
          </cell>
          <cell r="E632">
            <v>5</v>
          </cell>
          <cell r="F632">
            <v>248.84</v>
          </cell>
          <cell r="K632">
            <v>10</v>
          </cell>
          <cell r="N632">
            <v>1244.2</v>
          </cell>
        </row>
        <row r="633">
          <cell r="D633" t="str">
            <v>Chair</v>
          </cell>
          <cell r="E633">
            <v>3</v>
          </cell>
          <cell r="F633">
            <v>46.11</v>
          </cell>
          <cell r="K633">
            <v>5</v>
          </cell>
          <cell r="N633">
            <v>138.33000000000001</v>
          </cell>
        </row>
        <row r="634">
          <cell r="D634" t="str">
            <v>Laptop</v>
          </cell>
          <cell r="E634">
            <v>5</v>
          </cell>
          <cell r="F634">
            <v>678.16</v>
          </cell>
          <cell r="K634">
            <v>7</v>
          </cell>
          <cell r="N634">
            <v>3390.8</v>
          </cell>
        </row>
        <row r="635">
          <cell r="D635" t="str">
            <v>Laptop</v>
          </cell>
          <cell r="E635">
            <v>5</v>
          </cell>
          <cell r="F635">
            <v>601.72</v>
          </cell>
          <cell r="K635">
            <v>5</v>
          </cell>
          <cell r="N635">
            <v>3008.6</v>
          </cell>
        </row>
        <row r="636">
          <cell r="D636" t="str">
            <v>Printer</v>
          </cell>
          <cell r="E636">
            <v>2</v>
          </cell>
          <cell r="F636">
            <v>259.32</v>
          </cell>
          <cell r="K636">
            <v>2</v>
          </cell>
          <cell r="N636">
            <v>518.64</v>
          </cell>
        </row>
        <row r="637">
          <cell r="D637" t="str">
            <v>Chair</v>
          </cell>
          <cell r="E637">
            <v>3</v>
          </cell>
          <cell r="F637">
            <v>63.68</v>
          </cell>
          <cell r="K637">
            <v>6</v>
          </cell>
          <cell r="N637">
            <v>191.04</v>
          </cell>
        </row>
        <row r="638">
          <cell r="D638" t="str">
            <v>Laptop</v>
          </cell>
          <cell r="E638">
            <v>4</v>
          </cell>
          <cell r="F638">
            <v>371.07</v>
          </cell>
          <cell r="K638">
            <v>7</v>
          </cell>
          <cell r="N638">
            <v>1484.28</v>
          </cell>
        </row>
        <row r="639">
          <cell r="D639" t="str">
            <v>Chair</v>
          </cell>
          <cell r="E639">
            <v>4</v>
          </cell>
          <cell r="F639">
            <v>306.35000000000002</v>
          </cell>
          <cell r="K639">
            <v>7</v>
          </cell>
          <cell r="N639">
            <v>1225.4000000000001</v>
          </cell>
        </row>
        <row r="640">
          <cell r="D640" t="str">
            <v>Tablet</v>
          </cell>
          <cell r="E640">
            <v>4</v>
          </cell>
          <cell r="F640">
            <v>578.27</v>
          </cell>
          <cell r="K640">
            <v>9</v>
          </cell>
          <cell r="N640">
            <v>2313.08</v>
          </cell>
        </row>
        <row r="641">
          <cell r="D641" t="str">
            <v>Chair</v>
          </cell>
          <cell r="E641">
            <v>1</v>
          </cell>
          <cell r="F641">
            <v>529.19000000000005</v>
          </cell>
          <cell r="K641">
            <v>5</v>
          </cell>
          <cell r="N641">
            <v>529.19000000000005</v>
          </cell>
        </row>
        <row r="642">
          <cell r="D642" t="str">
            <v>Chair</v>
          </cell>
          <cell r="E642">
            <v>2</v>
          </cell>
          <cell r="F642">
            <v>587.49</v>
          </cell>
          <cell r="K642">
            <v>6</v>
          </cell>
          <cell r="N642">
            <v>1174.98</v>
          </cell>
        </row>
        <row r="643">
          <cell r="D643" t="str">
            <v>Printer</v>
          </cell>
          <cell r="E643">
            <v>4</v>
          </cell>
          <cell r="F643">
            <v>567.57000000000005</v>
          </cell>
          <cell r="K643">
            <v>9</v>
          </cell>
          <cell r="N643">
            <v>2270.2800000000002</v>
          </cell>
        </row>
        <row r="644">
          <cell r="D644" t="str">
            <v>Chair</v>
          </cell>
          <cell r="E644">
            <v>5</v>
          </cell>
          <cell r="F644">
            <v>85.22</v>
          </cell>
          <cell r="K644">
            <v>7</v>
          </cell>
          <cell r="N644">
            <v>426.1</v>
          </cell>
        </row>
        <row r="645">
          <cell r="D645" t="str">
            <v>Laptop</v>
          </cell>
          <cell r="E645">
            <v>1</v>
          </cell>
          <cell r="F645">
            <v>438.37</v>
          </cell>
          <cell r="K645">
            <v>4</v>
          </cell>
          <cell r="N645">
            <v>438.37</v>
          </cell>
        </row>
        <row r="646">
          <cell r="D646" t="str">
            <v>Chair</v>
          </cell>
          <cell r="E646">
            <v>2</v>
          </cell>
          <cell r="F646">
            <v>366.23</v>
          </cell>
          <cell r="K646">
            <v>2</v>
          </cell>
          <cell r="N646">
            <v>732.46</v>
          </cell>
        </row>
        <row r="647">
          <cell r="D647" t="str">
            <v>Laptop</v>
          </cell>
          <cell r="E647">
            <v>2</v>
          </cell>
          <cell r="F647">
            <v>150.05000000000001</v>
          </cell>
          <cell r="K647">
            <v>4</v>
          </cell>
          <cell r="N647">
            <v>300.10000000000002</v>
          </cell>
        </row>
        <row r="648">
          <cell r="D648" t="str">
            <v>Chair</v>
          </cell>
          <cell r="E648">
            <v>4</v>
          </cell>
          <cell r="F648">
            <v>498.51</v>
          </cell>
          <cell r="K648">
            <v>4</v>
          </cell>
          <cell r="N648">
            <v>1994.04</v>
          </cell>
        </row>
        <row r="649">
          <cell r="D649" t="str">
            <v>Desk</v>
          </cell>
          <cell r="E649">
            <v>3</v>
          </cell>
          <cell r="F649">
            <v>339.39</v>
          </cell>
          <cell r="K649">
            <v>7</v>
          </cell>
          <cell r="N649">
            <v>1018.17</v>
          </cell>
        </row>
        <row r="650">
          <cell r="D650" t="str">
            <v>Monitor</v>
          </cell>
          <cell r="E650">
            <v>2</v>
          </cell>
          <cell r="F650">
            <v>575.83000000000004</v>
          </cell>
          <cell r="K650">
            <v>3</v>
          </cell>
          <cell r="N650">
            <v>1151.6600000000001</v>
          </cell>
        </row>
        <row r="651">
          <cell r="D651" t="str">
            <v>Monitor</v>
          </cell>
          <cell r="E651">
            <v>2</v>
          </cell>
          <cell r="F651">
            <v>642.98</v>
          </cell>
          <cell r="K651">
            <v>7</v>
          </cell>
          <cell r="N651">
            <v>1285.96</v>
          </cell>
        </row>
        <row r="652">
          <cell r="D652" t="str">
            <v>Desk</v>
          </cell>
          <cell r="E652">
            <v>2</v>
          </cell>
          <cell r="F652">
            <v>372.23</v>
          </cell>
          <cell r="K652">
            <v>7</v>
          </cell>
          <cell r="N652">
            <v>744.46</v>
          </cell>
        </row>
        <row r="653">
          <cell r="D653" t="str">
            <v>Chair</v>
          </cell>
          <cell r="E653">
            <v>3</v>
          </cell>
          <cell r="F653">
            <v>646.34</v>
          </cell>
          <cell r="K653">
            <v>5</v>
          </cell>
          <cell r="N653">
            <v>1939.02</v>
          </cell>
        </row>
        <row r="654">
          <cell r="D654" t="str">
            <v>Chair</v>
          </cell>
          <cell r="E654">
            <v>5</v>
          </cell>
          <cell r="F654">
            <v>341.84</v>
          </cell>
          <cell r="K654">
            <v>8</v>
          </cell>
          <cell r="N654">
            <v>1709.2</v>
          </cell>
        </row>
        <row r="655">
          <cell r="D655" t="str">
            <v>Printer</v>
          </cell>
          <cell r="E655">
            <v>3</v>
          </cell>
          <cell r="F655">
            <v>690.3</v>
          </cell>
          <cell r="K655">
            <v>6</v>
          </cell>
          <cell r="N655">
            <v>2070.9</v>
          </cell>
        </row>
        <row r="656">
          <cell r="D656" t="str">
            <v>Tablet</v>
          </cell>
          <cell r="E656">
            <v>3</v>
          </cell>
          <cell r="F656">
            <v>382.37</v>
          </cell>
          <cell r="K656">
            <v>8</v>
          </cell>
          <cell r="N656">
            <v>1147.1099999999999</v>
          </cell>
        </row>
        <row r="657">
          <cell r="D657" t="str">
            <v>Chair</v>
          </cell>
          <cell r="E657">
            <v>2</v>
          </cell>
          <cell r="F657">
            <v>132.6</v>
          </cell>
          <cell r="K657">
            <v>4</v>
          </cell>
          <cell r="N657">
            <v>265.2</v>
          </cell>
        </row>
        <row r="658">
          <cell r="D658" t="str">
            <v>Monitor</v>
          </cell>
          <cell r="E658">
            <v>2</v>
          </cell>
          <cell r="F658">
            <v>189.06</v>
          </cell>
          <cell r="K658">
            <v>7</v>
          </cell>
          <cell r="N658">
            <v>378.12</v>
          </cell>
        </row>
        <row r="659">
          <cell r="D659" t="str">
            <v>Tablet</v>
          </cell>
          <cell r="E659">
            <v>4</v>
          </cell>
          <cell r="F659">
            <v>87.79</v>
          </cell>
          <cell r="K659">
            <v>6</v>
          </cell>
          <cell r="N659">
            <v>351.16</v>
          </cell>
        </row>
        <row r="660">
          <cell r="D660" t="str">
            <v>Printer</v>
          </cell>
          <cell r="E660">
            <v>2</v>
          </cell>
          <cell r="F660">
            <v>46.36</v>
          </cell>
          <cell r="K660">
            <v>4</v>
          </cell>
          <cell r="N660">
            <v>92.72</v>
          </cell>
        </row>
        <row r="661">
          <cell r="D661" t="str">
            <v>Phone</v>
          </cell>
          <cell r="E661">
            <v>2</v>
          </cell>
          <cell r="F661">
            <v>642.04</v>
          </cell>
          <cell r="K661">
            <v>4</v>
          </cell>
          <cell r="N661">
            <v>1284.08</v>
          </cell>
        </row>
        <row r="662">
          <cell r="D662" t="str">
            <v>Chair</v>
          </cell>
          <cell r="E662">
            <v>2</v>
          </cell>
          <cell r="F662">
            <v>651.57000000000005</v>
          </cell>
          <cell r="K662">
            <v>7</v>
          </cell>
          <cell r="N662">
            <v>1303.1400000000001</v>
          </cell>
        </row>
        <row r="663">
          <cell r="D663" t="str">
            <v>Tablet</v>
          </cell>
          <cell r="E663">
            <v>3</v>
          </cell>
          <cell r="F663">
            <v>424.89</v>
          </cell>
          <cell r="K663">
            <v>6</v>
          </cell>
          <cell r="N663">
            <v>1274.67</v>
          </cell>
        </row>
        <row r="664">
          <cell r="D664" t="str">
            <v>Laptop</v>
          </cell>
          <cell r="E664">
            <v>3</v>
          </cell>
          <cell r="F664">
            <v>438.89</v>
          </cell>
          <cell r="K664">
            <v>3</v>
          </cell>
          <cell r="N664">
            <v>1316.67</v>
          </cell>
        </row>
        <row r="665">
          <cell r="D665" t="str">
            <v>Monitor</v>
          </cell>
          <cell r="E665">
            <v>1</v>
          </cell>
          <cell r="F665">
            <v>72.599999999999994</v>
          </cell>
          <cell r="K665">
            <v>6</v>
          </cell>
          <cell r="N665">
            <v>72.599999999999994</v>
          </cell>
        </row>
        <row r="666">
          <cell r="D666" t="str">
            <v>Laptop</v>
          </cell>
          <cell r="E666">
            <v>4</v>
          </cell>
          <cell r="F666">
            <v>194.75</v>
          </cell>
          <cell r="K666">
            <v>5</v>
          </cell>
          <cell r="N666">
            <v>779</v>
          </cell>
        </row>
        <row r="667">
          <cell r="D667" t="str">
            <v>Tablet</v>
          </cell>
          <cell r="E667">
            <v>4</v>
          </cell>
          <cell r="F667">
            <v>231.26</v>
          </cell>
          <cell r="K667">
            <v>6</v>
          </cell>
          <cell r="N667">
            <v>925.04</v>
          </cell>
        </row>
        <row r="668">
          <cell r="D668" t="str">
            <v>Monitor</v>
          </cell>
          <cell r="E668">
            <v>4</v>
          </cell>
          <cell r="F668">
            <v>327.12</v>
          </cell>
          <cell r="K668">
            <v>4</v>
          </cell>
          <cell r="N668">
            <v>1308.48</v>
          </cell>
        </row>
        <row r="669">
          <cell r="D669" t="str">
            <v>Laptop</v>
          </cell>
          <cell r="E669">
            <v>1</v>
          </cell>
          <cell r="F669">
            <v>466.42</v>
          </cell>
          <cell r="K669">
            <v>5</v>
          </cell>
          <cell r="N669">
            <v>466.42</v>
          </cell>
        </row>
        <row r="670">
          <cell r="D670" t="str">
            <v>Monitor</v>
          </cell>
          <cell r="E670">
            <v>2</v>
          </cell>
          <cell r="F670">
            <v>253.67</v>
          </cell>
          <cell r="K670">
            <v>3</v>
          </cell>
          <cell r="N670">
            <v>507.34</v>
          </cell>
        </row>
        <row r="671">
          <cell r="D671" t="str">
            <v>Desk</v>
          </cell>
          <cell r="E671">
            <v>1</v>
          </cell>
          <cell r="F671">
            <v>257</v>
          </cell>
          <cell r="K671">
            <v>5</v>
          </cell>
          <cell r="N671">
            <v>257</v>
          </cell>
        </row>
        <row r="672">
          <cell r="D672" t="str">
            <v>Desk</v>
          </cell>
          <cell r="E672">
            <v>4</v>
          </cell>
          <cell r="F672">
            <v>539.20000000000005</v>
          </cell>
          <cell r="K672">
            <v>8</v>
          </cell>
          <cell r="N672">
            <v>2156.8000000000002</v>
          </cell>
        </row>
        <row r="673">
          <cell r="D673" t="str">
            <v>Chair</v>
          </cell>
          <cell r="E673">
            <v>5</v>
          </cell>
          <cell r="F673">
            <v>50.74</v>
          </cell>
          <cell r="K673">
            <v>7</v>
          </cell>
          <cell r="N673">
            <v>253.7</v>
          </cell>
        </row>
        <row r="674">
          <cell r="D674" t="str">
            <v>Phone</v>
          </cell>
          <cell r="E674">
            <v>2</v>
          </cell>
          <cell r="F674">
            <v>624.16</v>
          </cell>
          <cell r="K674">
            <v>2</v>
          </cell>
          <cell r="N674">
            <v>1248.32</v>
          </cell>
        </row>
        <row r="675">
          <cell r="D675" t="str">
            <v>Tablet</v>
          </cell>
          <cell r="E675">
            <v>2</v>
          </cell>
          <cell r="F675">
            <v>372.92</v>
          </cell>
          <cell r="K675">
            <v>7</v>
          </cell>
          <cell r="N675">
            <v>745.84</v>
          </cell>
        </row>
        <row r="676">
          <cell r="D676" t="str">
            <v>Laptop</v>
          </cell>
          <cell r="E676">
            <v>4</v>
          </cell>
          <cell r="F676">
            <v>358.75</v>
          </cell>
          <cell r="K676">
            <v>9</v>
          </cell>
          <cell r="N676">
            <v>1435</v>
          </cell>
        </row>
        <row r="677">
          <cell r="D677" t="str">
            <v>Desk</v>
          </cell>
          <cell r="E677">
            <v>3</v>
          </cell>
          <cell r="F677">
            <v>342.02</v>
          </cell>
          <cell r="K677">
            <v>5</v>
          </cell>
          <cell r="N677">
            <v>1026.06</v>
          </cell>
        </row>
        <row r="678">
          <cell r="D678" t="str">
            <v>Laptop</v>
          </cell>
          <cell r="E678">
            <v>2</v>
          </cell>
          <cell r="F678">
            <v>422.34</v>
          </cell>
          <cell r="K678">
            <v>4</v>
          </cell>
          <cell r="N678">
            <v>844.68</v>
          </cell>
        </row>
        <row r="679">
          <cell r="D679" t="str">
            <v>Tablet</v>
          </cell>
          <cell r="E679">
            <v>5</v>
          </cell>
          <cell r="F679">
            <v>22.07</v>
          </cell>
          <cell r="K679">
            <v>7</v>
          </cell>
          <cell r="N679">
            <v>110.35</v>
          </cell>
        </row>
        <row r="680">
          <cell r="D680" t="str">
            <v>Chair</v>
          </cell>
          <cell r="E680">
            <v>3</v>
          </cell>
          <cell r="F680">
            <v>163.13</v>
          </cell>
          <cell r="K680">
            <v>5</v>
          </cell>
          <cell r="N680">
            <v>489.39</v>
          </cell>
        </row>
        <row r="681">
          <cell r="D681" t="str">
            <v>Tablet</v>
          </cell>
          <cell r="E681">
            <v>3</v>
          </cell>
          <cell r="F681">
            <v>360.66</v>
          </cell>
          <cell r="K681">
            <v>5</v>
          </cell>
          <cell r="N681">
            <v>1081.98</v>
          </cell>
        </row>
        <row r="682">
          <cell r="D682" t="str">
            <v>Monitor</v>
          </cell>
          <cell r="E682">
            <v>3</v>
          </cell>
          <cell r="F682">
            <v>463.39</v>
          </cell>
          <cell r="K682">
            <v>3</v>
          </cell>
          <cell r="N682">
            <v>1390.17</v>
          </cell>
        </row>
        <row r="683">
          <cell r="D683" t="str">
            <v>Tablet</v>
          </cell>
          <cell r="E683">
            <v>1</v>
          </cell>
          <cell r="F683">
            <v>155.27000000000001</v>
          </cell>
          <cell r="K683">
            <v>6</v>
          </cell>
          <cell r="N683">
            <v>155.27000000000001</v>
          </cell>
        </row>
        <row r="684">
          <cell r="D684" t="str">
            <v>Monitor</v>
          </cell>
          <cell r="E684">
            <v>3</v>
          </cell>
          <cell r="F684">
            <v>509.42</v>
          </cell>
          <cell r="K684">
            <v>5</v>
          </cell>
          <cell r="N684">
            <v>1528.26</v>
          </cell>
        </row>
        <row r="685">
          <cell r="D685" t="str">
            <v>Desk</v>
          </cell>
          <cell r="E685">
            <v>4</v>
          </cell>
          <cell r="F685">
            <v>652.48</v>
          </cell>
          <cell r="K685">
            <v>5</v>
          </cell>
          <cell r="N685">
            <v>2609.92</v>
          </cell>
        </row>
        <row r="686">
          <cell r="D686" t="str">
            <v>Printer</v>
          </cell>
          <cell r="E686">
            <v>4</v>
          </cell>
          <cell r="F686">
            <v>34.840000000000003</v>
          </cell>
          <cell r="K686">
            <v>8</v>
          </cell>
          <cell r="N686">
            <v>139.36000000000001</v>
          </cell>
        </row>
        <row r="687">
          <cell r="D687" t="str">
            <v>Desk</v>
          </cell>
          <cell r="E687">
            <v>1</v>
          </cell>
          <cell r="F687">
            <v>234.37</v>
          </cell>
          <cell r="K687">
            <v>5</v>
          </cell>
          <cell r="N687">
            <v>234.37</v>
          </cell>
        </row>
        <row r="688">
          <cell r="D688" t="str">
            <v>Desk</v>
          </cell>
          <cell r="E688">
            <v>3</v>
          </cell>
          <cell r="F688">
            <v>53.6</v>
          </cell>
          <cell r="K688">
            <v>4</v>
          </cell>
          <cell r="N688">
            <v>160.80000000000001</v>
          </cell>
        </row>
        <row r="689">
          <cell r="D689" t="str">
            <v>Tablet</v>
          </cell>
          <cell r="E689">
            <v>1</v>
          </cell>
          <cell r="F689">
            <v>332.09</v>
          </cell>
          <cell r="K689">
            <v>5</v>
          </cell>
          <cell r="N689">
            <v>332.09</v>
          </cell>
        </row>
        <row r="690">
          <cell r="D690" t="str">
            <v>Monitor</v>
          </cell>
          <cell r="E690">
            <v>4</v>
          </cell>
          <cell r="F690">
            <v>593.22</v>
          </cell>
          <cell r="K690">
            <v>8</v>
          </cell>
          <cell r="N690">
            <v>2372.88</v>
          </cell>
        </row>
        <row r="691">
          <cell r="D691" t="str">
            <v>Tablet</v>
          </cell>
          <cell r="E691">
            <v>2</v>
          </cell>
          <cell r="F691">
            <v>444.84</v>
          </cell>
          <cell r="K691">
            <v>7</v>
          </cell>
          <cell r="N691">
            <v>889.68</v>
          </cell>
        </row>
        <row r="692">
          <cell r="D692" t="str">
            <v>Monitor</v>
          </cell>
          <cell r="E692">
            <v>1</v>
          </cell>
          <cell r="F692">
            <v>24.48</v>
          </cell>
          <cell r="K692">
            <v>1</v>
          </cell>
          <cell r="N692">
            <v>24.48</v>
          </cell>
        </row>
        <row r="693">
          <cell r="D693" t="str">
            <v>Laptop</v>
          </cell>
          <cell r="E693">
            <v>3</v>
          </cell>
          <cell r="F693">
            <v>239.08</v>
          </cell>
          <cell r="K693">
            <v>8</v>
          </cell>
          <cell r="N693">
            <v>717.24</v>
          </cell>
        </row>
        <row r="694">
          <cell r="D694" t="str">
            <v>Desk</v>
          </cell>
          <cell r="E694">
            <v>5</v>
          </cell>
          <cell r="F694">
            <v>196.84</v>
          </cell>
          <cell r="K694">
            <v>5</v>
          </cell>
          <cell r="N694">
            <v>984.2</v>
          </cell>
        </row>
        <row r="695">
          <cell r="D695" t="str">
            <v>Monitor</v>
          </cell>
          <cell r="E695">
            <v>1</v>
          </cell>
          <cell r="F695">
            <v>176.58</v>
          </cell>
          <cell r="K695">
            <v>4</v>
          </cell>
          <cell r="N695">
            <v>176.58</v>
          </cell>
        </row>
        <row r="696">
          <cell r="D696" t="str">
            <v>Printer</v>
          </cell>
          <cell r="E696">
            <v>4</v>
          </cell>
          <cell r="F696">
            <v>666.52</v>
          </cell>
          <cell r="K696">
            <v>8</v>
          </cell>
          <cell r="N696">
            <v>2666.08</v>
          </cell>
        </row>
        <row r="697">
          <cell r="D697" t="str">
            <v>Printer</v>
          </cell>
          <cell r="E697">
            <v>5</v>
          </cell>
          <cell r="F697">
            <v>101.3</v>
          </cell>
          <cell r="K697">
            <v>7</v>
          </cell>
          <cell r="N697">
            <v>506.5</v>
          </cell>
        </row>
        <row r="698">
          <cell r="D698" t="str">
            <v>Chair</v>
          </cell>
          <cell r="E698">
            <v>4</v>
          </cell>
          <cell r="F698">
            <v>151.19999999999999</v>
          </cell>
          <cell r="K698">
            <v>9</v>
          </cell>
          <cell r="N698">
            <v>604.79999999999995</v>
          </cell>
        </row>
        <row r="699">
          <cell r="D699" t="str">
            <v>Printer</v>
          </cell>
          <cell r="E699">
            <v>5</v>
          </cell>
          <cell r="F699">
            <v>94.85</v>
          </cell>
          <cell r="K699">
            <v>6</v>
          </cell>
          <cell r="N699">
            <v>474.25</v>
          </cell>
        </row>
        <row r="700">
          <cell r="D700" t="str">
            <v>Laptop</v>
          </cell>
          <cell r="E700">
            <v>2</v>
          </cell>
          <cell r="F700">
            <v>388.22</v>
          </cell>
          <cell r="K700">
            <v>2</v>
          </cell>
          <cell r="N700">
            <v>776.44</v>
          </cell>
        </row>
        <row r="701">
          <cell r="D701" t="str">
            <v>Laptop</v>
          </cell>
          <cell r="E701">
            <v>3</v>
          </cell>
          <cell r="F701">
            <v>614.15</v>
          </cell>
          <cell r="K701">
            <v>3</v>
          </cell>
          <cell r="N701">
            <v>1842.45</v>
          </cell>
        </row>
        <row r="702">
          <cell r="D702" t="str">
            <v>Laptop</v>
          </cell>
          <cell r="E702">
            <v>2</v>
          </cell>
          <cell r="F702">
            <v>92.91</v>
          </cell>
          <cell r="K702">
            <v>3</v>
          </cell>
          <cell r="N702">
            <v>185.82</v>
          </cell>
        </row>
        <row r="703">
          <cell r="D703" t="str">
            <v>Monitor</v>
          </cell>
          <cell r="E703">
            <v>3</v>
          </cell>
          <cell r="F703">
            <v>92.22</v>
          </cell>
          <cell r="K703">
            <v>5</v>
          </cell>
          <cell r="N703">
            <v>276.66000000000003</v>
          </cell>
        </row>
        <row r="704">
          <cell r="D704" t="str">
            <v>Printer</v>
          </cell>
          <cell r="E704">
            <v>3</v>
          </cell>
          <cell r="F704">
            <v>562.54999999999995</v>
          </cell>
          <cell r="K704">
            <v>6</v>
          </cell>
          <cell r="N704">
            <v>1687.65</v>
          </cell>
        </row>
        <row r="705">
          <cell r="D705" t="str">
            <v>Desk</v>
          </cell>
          <cell r="E705">
            <v>1</v>
          </cell>
          <cell r="F705">
            <v>92.79</v>
          </cell>
          <cell r="K705">
            <v>3</v>
          </cell>
          <cell r="N705">
            <v>92.79</v>
          </cell>
        </row>
        <row r="706">
          <cell r="D706" t="str">
            <v>Desk</v>
          </cell>
          <cell r="E706">
            <v>4</v>
          </cell>
          <cell r="F706">
            <v>30.27</v>
          </cell>
          <cell r="K706">
            <v>9</v>
          </cell>
          <cell r="N706">
            <v>121.08</v>
          </cell>
        </row>
        <row r="707">
          <cell r="D707" t="str">
            <v>Monitor</v>
          </cell>
          <cell r="E707">
            <v>2</v>
          </cell>
          <cell r="F707">
            <v>49.08</v>
          </cell>
          <cell r="K707">
            <v>7</v>
          </cell>
          <cell r="N707">
            <v>98.16</v>
          </cell>
        </row>
        <row r="708">
          <cell r="D708" t="str">
            <v>Desk</v>
          </cell>
          <cell r="E708">
            <v>5</v>
          </cell>
          <cell r="F708">
            <v>228.09</v>
          </cell>
          <cell r="K708">
            <v>9</v>
          </cell>
          <cell r="N708">
            <v>1140.45</v>
          </cell>
        </row>
        <row r="709">
          <cell r="D709" t="str">
            <v>Chair</v>
          </cell>
          <cell r="E709">
            <v>4</v>
          </cell>
          <cell r="F709">
            <v>650.04</v>
          </cell>
          <cell r="K709">
            <v>6</v>
          </cell>
          <cell r="N709">
            <v>2600.16</v>
          </cell>
        </row>
        <row r="710">
          <cell r="D710" t="str">
            <v>Printer</v>
          </cell>
          <cell r="E710">
            <v>1</v>
          </cell>
          <cell r="F710">
            <v>665.11</v>
          </cell>
          <cell r="K710">
            <v>3</v>
          </cell>
          <cell r="N710">
            <v>665.11</v>
          </cell>
        </row>
        <row r="711">
          <cell r="D711" t="str">
            <v>Desk</v>
          </cell>
          <cell r="E711">
            <v>1</v>
          </cell>
          <cell r="F711">
            <v>386.03</v>
          </cell>
          <cell r="K711">
            <v>4</v>
          </cell>
          <cell r="N711">
            <v>386.03</v>
          </cell>
        </row>
        <row r="712">
          <cell r="D712" t="str">
            <v>Laptop</v>
          </cell>
          <cell r="E712">
            <v>5</v>
          </cell>
          <cell r="F712">
            <v>21.54</v>
          </cell>
          <cell r="K712">
            <v>10</v>
          </cell>
          <cell r="N712">
            <v>107.7</v>
          </cell>
        </row>
        <row r="713">
          <cell r="D713" t="str">
            <v>Tablet</v>
          </cell>
          <cell r="E713">
            <v>2</v>
          </cell>
          <cell r="F713">
            <v>475.78</v>
          </cell>
          <cell r="K713">
            <v>2</v>
          </cell>
          <cell r="N713">
            <v>951.56</v>
          </cell>
        </row>
        <row r="714">
          <cell r="D714" t="str">
            <v>Tablet</v>
          </cell>
          <cell r="E714">
            <v>2</v>
          </cell>
          <cell r="F714">
            <v>68.400000000000006</v>
          </cell>
          <cell r="K714">
            <v>7</v>
          </cell>
          <cell r="N714">
            <v>136.80000000000001</v>
          </cell>
        </row>
        <row r="715">
          <cell r="D715" t="str">
            <v>Tablet</v>
          </cell>
          <cell r="E715">
            <v>4</v>
          </cell>
          <cell r="F715">
            <v>532.49</v>
          </cell>
          <cell r="K715">
            <v>6</v>
          </cell>
          <cell r="N715">
            <v>2129.96</v>
          </cell>
        </row>
        <row r="716">
          <cell r="D716" t="str">
            <v>Laptop</v>
          </cell>
          <cell r="E716">
            <v>1</v>
          </cell>
          <cell r="F716">
            <v>51.73</v>
          </cell>
          <cell r="K716">
            <v>1</v>
          </cell>
          <cell r="N716">
            <v>51.73</v>
          </cell>
        </row>
        <row r="717">
          <cell r="D717" t="str">
            <v>Printer</v>
          </cell>
          <cell r="E717">
            <v>3</v>
          </cell>
          <cell r="F717">
            <v>653.63</v>
          </cell>
          <cell r="K717">
            <v>7</v>
          </cell>
          <cell r="N717">
            <v>1960.89</v>
          </cell>
        </row>
        <row r="718">
          <cell r="D718" t="str">
            <v>Chair</v>
          </cell>
          <cell r="E718">
            <v>3</v>
          </cell>
          <cell r="F718">
            <v>454.29</v>
          </cell>
          <cell r="K718">
            <v>4</v>
          </cell>
          <cell r="N718">
            <v>1362.87</v>
          </cell>
        </row>
        <row r="719">
          <cell r="D719" t="str">
            <v>Chair</v>
          </cell>
          <cell r="E719">
            <v>3</v>
          </cell>
          <cell r="F719">
            <v>122.11</v>
          </cell>
          <cell r="K719">
            <v>4</v>
          </cell>
          <cell r="N719">
            <v>366.33</v>
          </cell>
        </row>
        <row r="720">
          <cell r="D720" t="str">
            <v>Laptop</v>
          </cell>
          <cell r="E720">
            <v>4</v>
          </cell>
          <cell r="F720">
            <v>64.739999999999995</v>
          </cell>
          <cell r="K720">
            <v>8</v>
          </cell>
          <cell r="N720">
            <v>258.95999999999998</v>
          </cell>
        </row>
        <row r="721">
          <cell r="D721" t="str">
            <v>Laptop</v>
          </cell>
          <cell r="E721">
            <v>2</v>
          </cell>
          <cell r="F721">
            <v>681.06</v>
          </cell>
          <cell r="K721">
            <v>3</v>
          </cell>
          <cell r="N721">
            <v>1362.12</v>
          </cell>
        </row>
        <row r="722">
          <cell r="D722" t="str">
            <v>Desk</v>
          </cell>
          <cell r="E722">
            <v>5</v>
          </cell>
          <cell r="F722">
            <v>128.94999999999999</v>
          </cell>
          <cell r="K722">
            <v>10</v>
          </cell>
          <cell r="N722">
            <v>644.75</v>
          </cell>
        </row>
        <row r="723">
          <cell r="D723" t="str">
            <v>Desk</v>
          </cell>
          <cell r="E723">
            <v>2</v>
          </cell>
          <cell r="F723">
            <v>118.59</v>
          </cell>
          <cell r="K723">
            <v>2</v>
          </cell>
          <cell r="N723">
            <v>237.18</v>
          </cell>
        </row>
        <row r="724">
          <cell r="D724" t="str">
            <v>Printer</v>
          </cell>
          <cell r="E724">
            <v>1</v>
          </cell>
          <cell r="F724">
            <v>95.1</v>
          </cell>
          <cell r="K724">
            <v>1</v>
          </cell>
          <cell r="N724">
            <v>95.1</v>
          </cell>
        </row>
        <row r="725">
          <cell r="D725" t="str">
            <v>Desk</v>
          </cell>
          <cell r="E725">
            <v>3</v>
          </cell>
          <cell r="F725">
            <v>54.95</v>
          </cell>
          <cell r="K725">
            <v>8</v>
          </cell>
          <cell r="N725">
            <v>164.85</v>
          </cell>
        </row>
        <row r="726">
          <cell r="D726" t="str">
            <v>Printer</v>
          </cell>
          <cell r="E726">
            <v>3</v>
          </cell>
          <cell r="F726">
            <v>136.97</v>
          </cell>
          <cell r="K726">
            <v>4</v>
          </cell>
          <cell r="N726">
            <v>410.91</v>
          </cell>
        </row>
        <row r="727">
          <cell r="D727" t="str">
            <v>Chair</v>
          </cell>
          <cell r="E727">
            <v>2</v>
          </cell>
          <cell r="F727">
            <v>194.85</v>
          </cell>
          <cell r="K727">
            <v>5</v>
          </cell>
          <cell r="N727">
            <v>389.7</v>
          </cell>
        </row>
        <row r="728">
          <cell r="D728" t="str">
            <v>Laptop</v>
          </cell>
          <cell r="E728">
            <v>4</v>
          </cell>
          <cell r="F728">
            <v>583.02</v>
          </cell>
          <cell r="K728">
            <v>4</v>
          </cell>
          <cell r="N728">
            <v>2332.08</v>
          </cell>
        </row>
        <row r="729">
          <cell r="D729" t="str">
            <v>Chair</v>
          </cell>
          <cell r="E729">
            <v>5</v>
          </cell>
          <cell r="F729">
            <v>95.75</v>
          </cell>
          <cell r="K729">
            <v>8</v>
          </cell>
          <cell r="N729">
            <v>478.75</v>
          </cell>
        </row>
        <row r="730">
          <cell r="D730" t="str">
            <v>Desk</v>
          </cell>
          <cell r="E730">
            <v>4</v>
          </cell>
          <cell r="F730">
            <v>325.76</v>
          </cell>
          <cell r="K730">
            <v>8</v>
          </cell>
          <cell r="N730">
            <v>1303.04</v>
          </cell>
        </row>
        <row r="731">
          <cell r="D731" t="str">
            <v>Phone</v>
          </cell>
          <cell r="E731">
            <v>4</v>
          </cell>
          <cell r="F731">
            <v>186.41</v>
          </cell>
          <cell r="K731">
            <v>6</v>
          </cell>
          <cell r="N731">
            <v>745.64</v>
          </cell>
        </row>
        <row r="732">
          <cell r="D732" t="str">
            <v>Phone</v>
          </cell>
          <cell r="E732">
            <v>1</v>
          </cell>
          <cell r="F732">
            <v>474.6</v>
          </cell>
          <cell r="K732">
            <v>4</v>
          </cell>
          <cell r="N732">
            <v>474.6</v>
          </cell>
        </row>
        <row r="733">
          <cell r="D733" t="str">
            <v>Printer</v>
          </cell>
          <cell r="E733">
            <v>5</v>
          </cell>
          <cell r="F733">
            <v>584.46</v>
          </cell>
          <cell r="K733">
            <v>8</v>
          </cell>
          <cell r="N733">
            <v>2922.3</v>
          </cell>
        </row>
        <row r="734">
          <cell r="D734" t="str">
            <v>Laptop</v>
          </cell>
          <cell r="E734">
            <v>1</v>
          </cell>
          <cell r="F734">
            <v>132.05000000000001</v>
          </cell>
          <cell r="K734">
            <v>2</v>
          </cell>
          <cell r="N734">
            <v>132.05000000000001</v>
          </cell>
        </row>
        <row r="735">
          <cell r="D735" t="str">
            <v>Tablet</v>
          </cell>
          <cell r="E735">
            <v>4</v>
          </cell>
          <cell r="F735">
            <v>494.84</v>
          </cell>
          <cell r="K735">
            <v>8</v>
          </cell>
          <cell r="N735">
            <v>1979.36</v>
          </cell>
        </row>
        <row r="736">
          <cell r="D736" t="str">
            <v>Printer</v>
          </cell>
          <cell r="E736">
            <v>4</v>
          </cell>
          <cell r="F736">
            <v>224.61</v>
          </cell>
          <cell r="K736">
            <v>6</v>
          </cell>
          <cell r="N736">
            <v>898.44</v>
          </cell>
        </row>
        <row r="737">
          <cell r="D737" t="str">
            <v>Monitor</v>
          </cell>
          <cell r="E737">
            <v>4</v>
          </cell>
          <cell r="F737">
            <v>44.07</v>
          </cell>
          <cell r="K737">
            <v>6</v>
          </cell>
          <cell r="N737">
            <v>176.28</v>
          </cell>
        </row>
        <row r="738">
          <cell r="D738" t="str">
            <v>Monitor</v>
          </cell>
          <cell r="E738">
            <v>5</v>
          </cell>
          <cell r="F738">
            <v>418.53</v>
          </cell>
          <cell r="K738">
            <v>6</v>
          </cell>
          <cell r="N738">
            <v>2092.65</v>
          </cell>
        </row>
        <row r="739">
          <cell r="D739" t="str">
            <v>Phone</v>
          </cell>
          <cell r="E739">
            <v>4</v>
          </cell>
          <cell r="F739">
            <v>532.87</v>
          </cell>
          <cell r="K739">
            <v>9</v>
          </cell>
          <cell r="N739">
            <v>2131.48</v>
          </cell>
        </row>
        <row r="740">
          <cell r="D740" t="str">
            <v>Phone</v>
          </cell>
          <cell r="E740">
            <v>2</v>
          </cell>
          <cell r="F740">
            <v>485.37</v>
          </cell>
          <cell r="K740">
            <v>5</v>
          </cell>
          <cell r="N740">
            <v>970.74</v>
          </cell>
        </row>
        <row r="741">
          <cell r="D741" t="str">
            <v>Phone</v>
          </cell>
          <cell r="E741">
            <v>4</v>
          </cell>
          <cell r="F741">
            <v>386.73</v>
          </cell>
          <cell r="K741">
            <v>4</v>
          </cell>
          <cell r="N741">
            <v>1546.92</v>
          </cell>
        </row>
        <row r="742">
          <cell r="D742" t="str">
            <v>Desk</v>
          </cell>
          <cell r="E742">
            <v>2</v>
          </cell>
          <cell r="F742">
            <v>377.47</v>
          </cell>
          <cell r="K742">
            <v>7</v>
          </cell>
          <cell r="N742">
            <v>754.94</v>
          </cell>
        </row>
        <row r="743">
          <cell r="D743" t="str">
            <v>Monitor</v>
          </cell>
          <cell r="E743">
            <v>5</v>
          </cell>
          <cell r="F743">
            <v>332.64</v>
          </cell>
          <cell r="K743">
            <v>10</v>
          </cell>
          <cell r="N743">
            <v>1663.2</v>
          </cell>
        </row>
        <row r="744">
          <cell r="D744" t="str">
            <v>Laptop</v>
          </cell>
          <cell r="E744">
            <v>3</v>
          </cell>
          <cell r="F744">
            <v>699.93</v>
          </cell>
          <cell r="K744">
            <v>7</v>
          </cell>
          <cell r="N744">
            <v>2099.79</v>
          </cell>
        </row>
        <row r="745">
          <cell r="D745" t="str">
            <v>Monitor</v>
          </cell>
          <cell r="E745">
            <v>1</v>
          </cell>
          <cell r="F745">
            <v>576.35</v>
          </cell>
          <cell r="K745">
            <v>1</v>
          </cell>
          <cell r="N745">
            <v>576.35</v>
          </cell>
        </row>
        <row r="746">
          <cell r="D746" t="str">
            <v>Tablet</v>
          </cell>
          <cell r="E746">
            <v>2</v>
          </cell>
          <cell r="F746">
            <v>461.37</v>
          </cell>
          <cell r="K746">
            <v>5</v>
          </cell>
          <cell r="N746">
            <v>922.74</v>
          </cell>
        </row>
        <row r="747">
          <cell r="D747" t="str">
            <v>Printer</v>
          </cell>
          <cell r="E747">
            <v>4</v>
          </cell>
          <cell r="F747">
            <v>111.3</v>
          </cell>
          <cell r="K747">
            <v>7</v>
          </cell>
          <cell r="N747">
            <v>445.2</v>
          </cell>
        </row>
        <row r="748">
          <cell r="D748" t="str">
            <v>Desk</v>
          </cell>
          <cell r="E748">
            <v>3</v>
          </cell>
          <cell r="F748">
            <v>661.89</v>
          </cell>
          <cell r="K748">
            <v>6</v>
          </cell>
          <cell r="N748">
            <v>1985.67</v>
          </cell>
        </row>
        <row r="749">
          <cell r="D749" t="str">
            <v>Tablet</v>
          </cell>
          <cell r="E749">
            <v>2</v>
          </cell>
          <cell r="F749">
            <v>259.58</v>
          </cell>
          <cell r="K749">
            <v>7</v>
          </cell>
          <cell r="N749">
            <v>519.16</v>
          </cell>
        </row>
        <row r="750">
          <cell r="D750" t="str">
            <v>Tablet</v>
          </cell>
          <cell r="E750">
            <v>3</v>
          </cell>
          <cell r="F750">
            <v>70.81</v>
          </cell>
          <cell r="K750">
            <v>8</v>
          </cell>
          <cell r="N750">
            <v>212.43</v>
          </cell>
        </row>
        <row r="751">
          <cell r="D751" t="str">
            <v>Laptop</v>
          </cell>
          <cell r="E751">
            <v>1</v>
          </cell>
          <cell r="F751">
            <v>518.39</v>
          </cell>
          <cell r="K751">
            <v>4</v>
          </cell>
          <cell r="N751">
            <v>518.39</v>
          </cell>
        </row>
        <row r="752">
          <cell r="D752" t="str">
            <v>Tablet</v>
          </cell>
          <cell r="E752">
            <v>4</v>
          </cell>
          <cell r="F752">
            <v>145.41</v>
          </cell>
          <cell r="K752">
            <v>7</v>
          </cell>
          <cell r="N752">
            <v>581.64</v>
          </cell>
        </row>
        <row r="753">
          <cell r="D753" t="str">
            <v>Tablet</v>
          </cell>
          <cell r="E753">
            <v>2</v>
          </cell>
          <cell r="F753">
            <v>599.86</v>
          </cell>
          <cell r="K753">
            <v>7</v>
          </cell>
          <cell r="N753">
            <v>1199.72</v>
          </cell>
        </row>
        <row r="754">
          <cell r="D754" t="str">
            <v>Phone</v>
          </cell>
          <cell r="E754">
            <v>4</v>
          </cell>
          <cell r="F754">
            <v>429.37</v>
          </cell>
          <cell r="K754">
            <v>8</v>
          </cell>
          <cell r="N754">
            <v>1717.48</v>
          </cell>
        </row>
        <row r="755">
          <cell r="D755" t="str">
            <v>Phone</v>
          </cell>
          <cell r="E755">
            <v>2</v>
          </cell>
          <cell r="F755">
            <v>241.49</v>
          </cell>
          <cell r="K755">
            <v>7</v>
          </cell>
          <cell r="N755">
            <v>482.98</v>
          </cell>
        </row>
        <row r="756">
          <cell r="D756" t="str">
            <v>Printer</v>
          </cell>
          <cell r="E756">
            <v>2</v>
          </cell>
          <cell r="F756">
            <v>452.05</v>
          </cell>
          <cell r="K756">
            <v>3</v>
          </cell>
          <cell r="N756">
            <v>904.1</v>
          </cell>
        </row>
        <row r="757">
          <cell r="D757" t="str">
            <v>Desk</v>
          </cell>
          <cell r="E757">
            <v>3</v>
          </cell>
          <cell r="F757">
            <v>336.71</v>
          </cell>
          <cell r="K757">
            <v>4</v>
          </cell>
          <cell r="N757">
            <v>1010.13</v>
          </cell>
        </row>
        <row r="758">
          <cell r="D758" t="str">
            <v>Phone</v>
          </cell>
          <cell r="E758">
            <v>1</v>
          </cell>
          <cell r="F758">
            <v>283.69</v>
          </cell>
          <cell r="K758">
            <v>6</v>
          </cell>
          <cell r="N758">
            <v>283.69</v>
          </cell>
        </row>
        <row r="759">
          <cell r="D759" t="str">
            <v>Desk</v>
          </cell>
          <cell r="E759">
            <v>1</v>
          </cell>
          <cell r="F759">
            <v>157.72</v>
          </cell>
          <cell r="K759">
            <v>2</v>
          </cell>
          <cell r="N759">
            <v>157.72</v>
          </cell>
        </row>
        <row r="760">
          <cell r="D760" t="str">
            <v>Tablet</v>
          </cell>
          <cell r="E760">
            <v>3</v>
          </cell>
          <cell r="F760">
            <v>624.84</v>
          </cell>
          <cell r="K760">
            <v>8</v>
          </cell>
          <cell r="N760">
            <v>1874.52</v>
          </cell>
        </row>
        <row r="761">
          <cell r="D761" t="str">
            <v>Desk</v>
          </cell>
          <cell r="E761">
            <v>3</v>
          </cell>
          <cell r="F761">
            <v>308.01</v>
          </cell>
          <cell r="K761">
            <v>3</v>
          </cell>
          <cell r="N761">
            <v>924.03</v>
          </cell>
        </row>
        <row r="762">
          <cell r="D762" t="str">
            <v>Desk</v>
          </cell>
          <cell r="E762">
            <v>1</v>
          </cell>
          <cell r="F762">
            <v>39.56</v>
          </cell>
          <cell r="K762">
            <v>5</v>
          </cell>
          <cell r="N762">
            <v>39.56</v>
          </cell>
        </row>
        <row r="763">
          <cell r="D763" t="str">
            <v>Desk</v>
          </cell>
          <cell r="E763">
            <v>4</v>
          </cell>
          <cell r="F763">
            <v>37.76</v>
          </cell>
          <cell r="K763">
            <v>7</v>
          </cell>
          <cell r="N763">
            <v>151.04</v>
          </cell>
        </row>
        <row r="764">
          <cell r="D764" t="str">
            <v>Phone</v>
          </cell>
          <cell r="E764">
            <v>3</v>
          </cell>
          <cell r="F764">
            <v>76.959999999999994</v>
          </cell>
          <cell r="K764">
            <v>8</v>
          </cell>
          <cell r="N764">
            <v>230.88</v>
          </cell>
        </row>
        <row r="765">
          <cell r="D765" t="str">
            <v>Laptop</v>
          </cell>
          <cell r="E765">
            <v>1</v>
          </cell>
          <cell r="F765">
            <v>569.96</v>
          </cell>
          <cell r="K765">
            <v>4</v>
          </cell>
          <cell r="N765">
            <v>569.96</v>
          </cell>
        </row>
        <row r="766">
          <cell r="D766" t="str">
            <v>Laptop</v>
          </cell>
          <cell r="E766">
            <v>5</v>
          </cell>
          <cell r="F766">
            <v>627.42999999999995</v>
          </cell>
          <cell r="K766">
            <v>10</v>
          </cell>
          <cell r="N766">
            <v>3137.15</v>
          </cell>
        </row>
        <row r="767">
          <cell r="D767" t="str">
            <v>Laptop</v>
          </cell>
          <cell r="E767">
            <v>2</v>
          </cell>
          <cell r="F767">
            <v>534.91</v>
          </cell>
          <cell r="K767">
            <v>5</v>
          </cell>
          <cell r="N767">
            <v>1069.82</v>
          </cell>
        </row>
        <row r="768">
          <cell r="D768" t="str">
            <v>Printer</v>
          </cell>
          <cell r="E768">
            <v>2</v>
          </cell>
          <cell r="F768">
            <v>278.88</v>
          </cell>
          <cell r="K768">
            <v>3</v>
          </cell>
          <cell r="N768">
            <v>557.76</v>
          </cell>
        </row>
        <row r="769">
          <cell r="D769" t="str">
            <v>Tablet</v>
          </cell>
          <cell r="E769">
            <v>2</v>
          </cell>
          <cell r="F769">
            <v>323.22000000000003</v>
          </cell>
          <cell r="K769">
            <v>7</v>
          </cell>
          <cell r="N769">
            <v>646.44000000000005</v>
          </cell>
        </row>
        <row r="770">
          <cell r="D770" t="str">
            <v>Tablet</v>
          </cell>
          <cell r="E770">
            <v>5</v>
          </cell>
          <cell r="F770">
            <v>653.46</v>
          </cell>
          <cell r="K770">
            <v>9</v>
          </cell>
          <cell r="N770">
            <v>3267.3</v>
          </cell>
        </row>
        <row r="771">
          <cell r="D771" t="str">
            <v>Printer</v>
          </cell>
          <cell r="E771">
            <v>4</v>
          </cell>
          <cell r="F771">
            <v>678.55</v>
          </cell>
          <cell r="K771">
            <v>5</v>
          </cell>
          <cell r="N771">
            <v>2714.2</v>
          </cell>
        </row>
        <row r="772">
          <cell r="D772" t="str">
            <v>Desk</v>
          </cell>
          <cell r="E772">
            <v>1</v>
          </cell>
          <cell r="F772">
            <v>314.38</v>
          </cell>
          <cell r="K772">
            <v>6</v>
          </cell>
          <cell r="N772">
            <v>314.38</v>
          </cell>
        </row>
        <row r="773">
          <cell r="D773" t="str">
            <v>Phone</v>
          </cell>
          <cell r="E773">
            <v>3</v>
          </cell>
          <cell r="F773">
            <v>692.44</v>
          </cell>
          <cell r="K773">
            <v>8</v>
          </cell>
          <cell r="N773">
            <v>2077.3200000000002</v>
          </cell>
        </row>
        <row r="774">
          <cell r="D774" t="str">
            <v>Monitor</v>
          </cell>
          <cell r="E774">
            <v>1</v>
          </cell>
          <cell r="F774">
            <v>604.87</v>
          </cell>
          <cell r="K774">
            <v>4</v>
          </cell>
          <cell r="N774">
            <v>604.87</v>
          </cell>
        </row>
        <row r="775">
          <cell r="D775" t="str">
            <v>Phone</v>
          </cell>
          <cell r="E775">
            <v>2</v>
          </cell>
          <cell r="F775">
            <v>512.33000000000004</v>
          </cell>
          <cell r="K775">
            <v>7</v>
          </cell>
          <cell r="N775">
            <v>1024.6600000000001</v>
          </cell>
        </row>
        <row r="776">
          <cell r="D776" t="str">
            <v>Chair</v>
          </cell>
          <cell r="E776">
            <v>3</v>
          </cell>
          <cell r="F776">
            <v>20.54</v>
          </cell>
          <cell r="K776">
            <v>3</v>
          </cell>
          <cell r="N776">
            <v>61.62</v>
          </cell>
        </row>
        <row r="777">
          <cell r="D777" t="str">
            <v>Phone</v>
          </cell>
          <cell r="E777">
            <v>2</v>
          </cell>
          <cell r="F777">
            <v>625.22</v>
          </cell>
          <cell r="K777">
            <v>5</v>
          </cell>
          <cell r="N777">
            <v>1250.44</v>
          </cell>
        </row>
        <row r="778">
          <cell r="D778" t="str">
            <v>Tablet</v>
          </cell>
          <cell r="E778">
            <v>1</v>
          </cell>
          <cell r="F778">
            <v>21.19</v>
          </cell>
          <cell r="K778">
            <v>5</v>
          </cell>
          <cell r="N778">
            <v>21.19</v>
          </cell>
        </row>
        <row r="779">
          <cell r="D779" t="str">
            <v>Chair</v>
          </cell>
          <cell r="E779">
            <v>5</v>
          </cell>
          <cell r="F779">
            <v>64.489999999999995</v>
          </cell>
          <cell r="K779">
            <v>7</v>
          </cell>
          <cell r="N779">
            <v>322.45</v>
          </cell>
        </row>
        <row r="780">
          <cell r="D780" t="str">
            <v>Laptop</v>
          </cell>
          <cell r="E780">
            <v>4</v>
          </cell>
          <cell r="F780">
            <v>246.85</v>
          </cell>
          <cell r="K780">
            <v>8</v>
          </cell>
          <cell r="N780">
            <v>987.4</v>
          </cell>
        </row>
        <row r="781">
          <cell r="D781" t="str">
            <v>Phone</v>
          </cell>
          <cell r="E781">
            <v>3</v>
          </cell>
          <cell r="F781">
            <v>588.74</v>
          </cell>
          <cell r="K781">
            <v>8</v>
          </cell>
          <cell r="N781">
            <v>1766.22</v>
          </cell>
        </row>
        <row r="782">
          <cell r="D782" t="str">
            <v>Laptop</v>
          </cell>
          <cell r="E782">
            <v>4</v>
          </cell>
          <cell r="F782">
            <v>184.48</v>
          </cell>
          <cell r="K782">
            <v>4</v>
          </cell>
          <cell r="N782">
            <v>737.92</v>
          </cell>
        </row>
        <row r="783">
          <cell r="D783" t="str">
            <v>Phone</v>
          </cell>
          <cell r="E783">
            <v>5</v>
          </cell>
          <cell r="F783">
            <v>524.26</v>
          </cell>
          <cell r="K783">
            <v>5</v>
          </cell>
          <cell r="N783">
            <v>2621.3000000000002</v>
          </cell>
        </row>
        <row r="784">
          <cell r="D784" t="str">
            <v>Monitor</v>
          </cell>
          <cell r="E784">
            <v>2</v>
          </cell>
          <cell r="F784">
            <v>493.63</v>
          </cell>
          <cell r="K784">
            <v>6</v>
          </cell>
          <cell r="N784">
            <v>987.26</v>
          </cell>
        </row>
        <row r="785">
          <cell r="D785" t="str">
            <v>Printer</v>
          </cell>
          <cell r="E785">
            <v>1</v>
          </cell>
          <cell r="F785">
            <v>438.34</v>
          </cell>
          <cell r="K785">
            <v>5</v>
          </cell>
          <cell r="N785">
            <v>438.34</v>
          </cell>
        </row>
        <row r="786">
          <cell r="D786" t="str">
            <v>Laptop</v>
          </cell>
          <cell r="E786">
            <v>1</v>
          </cell>
          <cell r="F786">
            <v>325.81</v>
          </cell>
          <cell r="K786">
            <v>1</v>
          </cell>
          <cell r="N786">
            <v>325.81</v>
          </cell>
        </row>
        <row r="787">
          <cell r="D787" t="str">
            <v>Chair</v>
          </cell>
          <cell r="E787">
            <v>1</v>
          </cell>
          <cell r="F787">
            <v>176.1</v>
          </cell>
          <cell r="K787">
            <v>1</v>
          </cell>
          <cell r="N787">
            <v>176.1</v>
          </cell>
        </row>
        <row r="788">
          <cell r="D788" t="str">
            <v>Chair</v>
          </cell>
          <cell r="E788">
            <v>5</v>
          </cell>
          <cell r="F788">
            <v>45.31</v>
          </cell>
          <cell r="K788">
            <v>8</v>
          </cell>
          <cell r="N788">
            <v>226.55</v>
          </cell>
        </row>
        <row r="789">
          <cell r="D789" t="str">
            <v>Desk</v>
          </cell>
          <cell r="E789">
            <v>4</v>
          </cell>
          <cell r="F789">
            <v>221.96</v>
          </cell>
          <cell r="K789">
            <v>7</v>
          </cell>
          <cell r="N789">
            <v>887.84</v>
          </cell>
        </row>
        <row r="790">
          <cell r="D790" t="str">
            <v>Chair</v>
          </cell>
          <cell r="E790">
            <v>2</v>
          </cell>
          <cell r="F790">
            <v>601.42999999999995</v>
          </cell>
          <cell r="K790">
            <v>5</v>
          </cell>
          <cell r="N790">
            <v>1202.8599999999999</v>
          </cell>
        </row>
        <row r="791">
          <cell r="D791" t="str">
            <v>Tablet</v>
          </cell>
          <cell r="E791">
            <v>5</v>
          </cell>
          <cell r="F791">
            <v>691.28</v>
          </cell>
          <cell r="K791">
            <v>10</v>
          </cell>
          <cell r="N791">
            <v>3456.4</v>
          </cell>
        </row>
        <row r="792">
          <cell r="D792" t="str">
            <v>Laptop</v>
          </cell>
          <cell r="E792">
            <v>4</v>
          </cell>
          <cell r="F792">
            <v>417.89</v>
          </cell>
          <cell r="K792">
            <v>4</v>
          </cell>
          <cell r="N792">
            <v>1671.56</v>
          </cell>
        </row>
        <row r="793">
          <cell r="D793" t="str">
            <v>Chair</v>
          </cell>
          <cell r="E793">
            <v>4</v>
          </cell>
          <cell r="F793">
            <v>409.28</v>
          </cell>
          <cell r="K793">
            <v>8</v>
          </cell>
          <cell r="N793">
            <v>1637.12</v>
          </cell>
        </row>
        <row r="794">
          <cell r="D794" t="str">
            <v>Desk</v>
          </cell>
          <cell r="E794">
            <v>2</v>
          </cell>
          <cell r="F794">
            <v>356.35</v>
          </cell>
          <cell r="K794">
            <v>6</v>
          </cell>
          <cell r="N794">
            <v>712.7</v>
          </cell>
        </row>
        <row r="795">
          <cell r="D795" t="str">
            <v>Chair</v>
          </cell>
          <cell r="E795">
            <v>5</v>
          </cell>
          <cell r="F795">
            <v>170.22</v>
          </cell>
          <cell r="K795">
            <v>8</v>
          </cell>
          <cell r="N795">
            <v>851.1</v>
          </cell>
        </row>
        <row r="796">
          <cell r="D796" t="str">
            <v>Printer</v>
          </cell>
          <cell r="E796">
            <v>4</v>
          </cell>
          <cell r="F796">
            <v>384.85</v>
          </cell>
          <cell r="K796">
            <v>9</v>
          </cell>
          <cell r="N796">
            <v>1539.4</v>
          </cell>
        </row>
        <row r="797">
          <cell r="D797" t="str">
            <v>Laptop</v>
          </cell>
          <cell r="E797">
            <v>4</v>
          </cell>
          <cell r="F797">
            <v>115.77</v>
          </cell>
          <cell r="K797">
            <v>7</v>
          </cell>
          <cell r="N797">
            <v>463.08</v>
          </cell>
        </row>
        <row r="798">
          <cell r="D798" t="str">
            <v>Phone</v>
          </cell>
          <cell r="E798">
            <v>3</v>
          </cell>
          <cell r="F798">
            <v>579.54999999999995</v>
          </cell>
          <cell r="K798">
            <v>8</v>
          </cell>
          <cell r="N798">
            <v>1738.65</v>
          </cell>
        </row>
        <row r="799">
          <cell r="D799" t="str">
            <v>Laptop</v>
          </cell>
          <cell r="E799">
            <v>2</v>
          </cell>
          <cell r="F799">
            <v>438.76</v>
          </cell>
          <cell r="K799">
            <v>2</v>
          </cell>
          <cell r="N799">
            <v>877.52</v>
          </cell>
        </row>
        <row r="800">
          <cell r="D800" t="str">
            <v>Phone</v>
          </cell>
          <cell r="E800">
            <v>5</v>
          </cell>
          <cell r="F800">
            <v>488.35</v>
          </cell>
          <cell r="K800">
            <v>9</v>
          </cell>
          <cell r="N800">
            <v>2441.75</v>
          </cell>
        </row>
        <row r="801">
          <cell r="D801" t="str">
            <v>Laptop</v>
          </cell>
          <cell r="E801">
            <v>4</v>
          </cell>
          <cell r="F801">
            <v>328.56</v>
          </cell>
          <cell r="K801">
            <v>4</v>
          </cell>
          <cell r="N801">
            <v>1314.24</v>
          </cell>
        </row>
        <row r="802">
          <cell r="D802" t="str">
            <v>Tablet</v>
          </cell>
          <cell r="E802">
            <v>1</v>
          </cell>
          <cell r="F802">
            <v>68.39</v>
          </cell>
          <cell r="K802">
            <v>3</v>
          </cell>
          <cell r="N802">
            <v>68.39</v>
          </cell>
        </row>
        <row r="803">
          <cell r="D803" t="str">
            <v>Printer</v>
          </cell>
          <cell r="E803">
            <v>4</v>
          </cell>
          <cell r="F803">
            <v>595.62</v>
          </cell>
          <cell r="K803">
            <v>8</v>
          </cell>
          <cell r="N803">
            <v>2382.48</v>
          </cell>
        </row>
        <row r="804">
          <cell r="D804" t="str">
            <v>Chair</v>
          </cell>
          <cell r="E804">
            <v>5</v>
          </cell>
          <cell r="F804">
            <v>644.64</v>
          </cell>
          <cell r="K804">
            <v>6</v>
          </cell>
          <cell r="N804">
            <v>3223.2</v>
          </cell>
        </row>
        <row r="805">
          <cell r="D805" t="str">
            <v>Monitor</v>
          </cell>
          <cell r="E805">
            <v>5</v>
          </cell>
          <cell r="F805">
            <v>397.81</v>
          </cell>
          <cell r="K805">
            <v>5</v>
          </cell>
          <cell r="N805">
            <v>1989.05</v>
          </cell>
        </row>
        <row r="806">
          <cell r="D806" t="str">
            <v>Chair</v>
          </cell>
          <cell r="E806">
            <v>3</v>
          </cell>
          <cell r="F806">
            <v>236.5</v>
          </cell>
          <cell r="K806">
            <v>8</v>
          </cell>
          <cell r="N806">
            <v>709.5</v>
          </cell>
        </row>
        <row r="807">
          <cell r="D807" t="str">
            <v>Laptop</v>
          </cell>
          <cell r="E807">
            <v>5</v>
          </cell>
          <cell r="F807">
            <v>472.01</v>
          </cell>
          <cell r="K807">
            <v>10</v>
          </cell>
          <cell r="N807">
            <v>2360.0500000000002</v>
          </cell>
        </row>
        <row r="808">
          <cell r="D808" t="str">
            <v>Chair</v>
          </cell>
          <cell r="E808">
            <v>5</v>
          </cell>
          <cell r="F808">
            <v>253.75</v>
          </cell>
          <cell r="K808">
            <v>9</v>
          </cell>
          <cell r="N808">
            <v>1268.75</v>
          </cell>
        </row>
        <row r="809">
          <cell r="D809" t="str">
            <v>Monitor</v>
          </cell>
          <cell r="E809">
            <v>3</v>
          </cell>
          <cell r="F809">
            <v>676.21</v>
          </cell>
          <cell r="K809">
            <v>5</v>
          </cell>
          <cell r="N809">
            <v>2028.63</v>
          </cell>
        </row>
        <row r="810">
          <cell r="D810" t="str">
            <v>Desk</v>
          </cell>
          <cell r="E810">
            <v>3</v>
          </cell>
          <cell r="F810">
            <v>134.05000000000001</v>
          </cell>
          <cell r="K810">
            <v>3</v>
          </cell>
          <cell r="N810">
            <v>402.15</v>
          </cell>
        </row>
        <row r="811">
          <cell r="D811" t="str">
            <v>Desk</v>
          </cell>
          <cell r="E811">
            <v>5</v>
          </cell>
          <cell r="F811">
            <v>217.43</v>
          </cell>
          <cell r="K811">
            <v>10</v>
          </cell>
          <cell r="N811">
            <v>1087.1500000000001</v>
          </cell>
        </row>
        <row r="812">
          <cell r="D812" t="str">
            <v>Tablet</v>
          </cell>
          <cell r="E812">
            <v>1</v>
          </cell>
          <cell r="F812">
            <v>553.55999999999995</v>
          </cell>
          <cell r="K812">
            <v>5</v>
          </cell>
          <cell r="N812">
            <v>553.55999999999995</v>
          </cell>
        </row>
        <row r="813">
          <cell r="D813" t="str">
            <v>Laptop</v>
          </cell>
          <cell r="E813">
            <v>2</v>
          </cell>
          <cell r="F813">
            <v>28.55</v>
          </cell>
          <cell r="K813">
            <v>7</v>
          </cell>
          <cell r="N813">
            <v>57.1</v>
          </cell>
        </row>
        <row r="814">
          <cell r="D814" t="str">
            <v>Phone</v>
          </cell>
          <cell r="E814">
            <v>2</v>
          </cell>
          <cell r="F814">
            <v>255.26</v>
          </cell>
          <cell r="K814">
            <v>6</v>
          </cell>
          <cell r="N814">
            <v>510.52</v>
          </cell>
        </row>
        <row r="815">
          <cell r="D815" t="str">
            <v>Laptop</v>
          </cell>
          <cell r="E815">
            <v>5</v>
          </cell>
          <cell r="F815">
            <v>292.54000000000002</v>
          </cell>
          <cell r="K815">
            <v>8</v>
          </cell>
          <cell r="N815">
            <v>1462.7</v>
          </cell>
        </row>
        <row r="816">
          <cell r="D816" t="str">
            <v>Chair</v>
          </cell>
          <cell r="E816">
            <v>4</v>
          </cell>
          <cell r="F816">
            <v>147.51</v>
          </cell>
          <cell r="K816">
            <v>4</v>
          </cell>
          <cell r="N816">
            <v>590.04</v>
          </cell>
        </row>
        <row r="817">
          <cell r="D817" t="str">
            <v>Printer</v>
          </cell>
          <cell r="E817">
            <v>3</v>
          </cell>
          <cell r="F817">
            <v>569.84</v>
          </cell>
          <cell r="K817">
            <v>8</v>
          </cell>
          <cell r="N817">
            <v>1709.52</v>
          </cell>
        </row>
        <row r="818">
          <cell r="D818" t="str">
            <v>Tablet</v>
          </cell>
          <cell r="E818">
            <v>5</v>
          </cell>
          <cell r="F818">
            <v>574.79</v>
          </cell>
          <cell r="K818">
            <v>8</v>
          </cell>
          <cell r="N818">
            <v>2873.95</v>
          </cell>
        </row>
        <row r="819">
          <cell r="D819" t="str">
            <v>Chair</v>
          </cell>
          <cell r="E819">
            <v>4</v>
          </cell>
          <cell r="F819">
            <v>598.19000000000005</v>
          </cell>
          <cell r="K819">
            <v>7</v>
          </cell>
          <cell r="N819">
            <v>2392.7600000000002</v>
          </cell>
        </row>
        <row r="820">
          <cell r="D820" t="str">
            <v>Phone</v>
          </cell>
          <cell r="E820">
            <v>4</v>
          </cell>
          <cell r="F820">
            <v>390.84</v>
          </cell>
          <cell r="K820">
            <v>9</v>
          </cell>
          <cell r="N820">
            <v>1563.36</v>
          </cell>
        </row>
        <row r="821">
          <cell r="D821" t="str">
            <v>Phone</v>
          </cell>
          <cell r="E821">
            <v>2</v>
          </cell>
          <cell r="F821">
            <v>398.45</v>
          </cell>
          <cell r="K821">
            <v>7</v>
          </cell>
          <cell r="N821">
            <v>796.9</v>
          </cell>
        </row>
        <row r="822">
          <cell r="D822" t="str">
            <v>Phone</v>
          </cell>
          <cell r="E822">
            <v>5</v>
          </cell>
          <cell r="F822">
            <v>623.80999999999995</v>
          </cell>
          <cell r="K822">
            <v>6</v>
          </cell>
          <cell r="N822">
            <v>3119.05</v>
          </cell>
        </row>
        <row r="823">
          <cell r="D823" t="str">
            <v>Laptop</v>
          </cell>
          <cell r="E823">
            <v>4</v>
          </cell>
          <cell r="F823">
            <v>174.49</v>
          </cell>
          <cell r="K823">
            <v>5</v>
          </cell>
          <cell r="N823">
            <v>697.96</v>
          </cell>
        </row>
        <row r="824">
          <cell r="D824" t="str">
            <v>Phone</v>
          </cell>
          <cell r="E824">
            <v>1</v>
          </cell>
          <cell r="F824">
            <v>479.56</v>
          </cell>
          <cell r="K824">
            <v>1</v>
          </cell>
          <cell r="N824">
            <v>479.56</v>
          </cell>
        </row>
        <row r="825">
          <cell r="D825" t="str">
            <v>Laptop</v>
          </cell>
          <cell r="E825">
            <v>4</v>
          </cell>
          <cell r="F825">
            <v>653.13</v>
          </cell>
          <cell r="K825">
            <v>8</v>
          </cell>
          <cell r="N825">
            <v>2612.52</v>
          </cell>
        </row>
        <row r="826">
          <cell r="D826" t="str">
            <v>Monitor</v>
          </cell>
          <cell r="E826">
            <v>3</v>
          </cell>
          <cell r="F826">
            <v>481.1</v>
          </cell>
          <cell r="K826">
            <v>3</v>
          </cell>
          <cell r="N826">
            <v>1443.3</v>
          </cell>
        </row>
        <row r="827">
          <cell r="D827" t="str">
            <v>Desk</v>
          </cell>
          <cell r="E827">
            <v>5</v>
          </cell>
          <cell r="F827">
            <v>271.69</v>
          </cell>
          <cell r="K827">
            <v>7</v>
          </cell>
          <cell r="N827">
            <v>1358.45</v>
          </cell>
        </row>
        <row r="828">
          <cell r="D828" t="str">
            <v>Printer</v>
          </cell>
          <cell r="E828">
            <v>3</v>
          </cell>
          <cell r="F828">
            <v>463.81</v>
          </cell>
          <cell r="K828">
            <v>8</v>
          </cell>
          <cell r="N828">
            <v>1391.43</v>
          </cell>
        </row>
        <row r="829">
          <cell r="D829" t="str">
            <v>Tablet</v>
          </cell>
          <cell r="E829">
            <v>2</v>
          </cell>
          <cell r="F829">
            <v>639.88</v>
          </cell>
          <cell r="K829">
            <v>5</v>
          </cell>
          <cell r="N829">
            <v>1279.76</v>
          </cell>
        </row>
        <row r="830">
          <cell r="D830" t="str">
            <v>Chair</v>
          </cell>
          <cell r="E830">
            <v>4</v>
          </cell>
          <cell r="F830">
            <v>404.58</v>
          </cell>
          <cell r="K830">
            <v>5</v>
          </cell>
          <cell r="N830">
            <v>1618.32</v>
          </cell>
        </row>
        <row r="831">
          <cell r="D831" t="str">
            <v>Monitor</v>
          </cell>
          <cell r="E831">
            <v>1</v>
          </cell>
          <cell r="F831">
            <v>76.930000000000007</v>
          </cell>
          <cell r="K831">
            <v>6</v>
          </cell>
          <cell r="N831">
            <v>76.930000000000007</v>
          </cell>
        </row>
        <row r="832">
          <cell r="D832" t="str">
            <v>Tablet</v>
          </cell>
          <cell r="E832">
            <v>4</v>
          </cell>
          <cell r="F832">
            <v>190.64</v>
          </cell>
          <cell r="K832">
            <v>5</v>
          </cell>
          <cell r="N832">
            <v>762.56</v>
          </cell>
        </row>
        <row r="833">
          <cell r="D833" t="str">
            <v>Printer</v>
          </cell>
          <cell r="E833">
            <v>2</v>
          </cell>
          <cell r="F833">
            <v>88.73</v>
          </cell>
          <cell r="K833">
            <v>5</v>
          </cell>
          <cell r="N833">
            <v>177.46</v>
          </cell>
        </row>
        <row r="834">
          <cell r="D834" t="str">
            <v>Chair</v>
          </cell>
          <cell r="E834">
            <v>5</v>
          </cell>
          <cell r="F834">
            <v>485.71</v>
          </cell>
          <cell r="K834">
            <v>10</v>
          </cell>
          <cell r="N834">
            <v>2428.5500000000002</v>
          </cell>
        </row>
        <row r="835">
          <cell r="D835" t="str">
            <v>Phone</v>
          </cell>
          <cell r="E835">
            <v>5</v>
          </cell>
          <cell r="F835">
            <v>78.290000000000006</v>
          </cell>
          <cell r="K835">
            <v>5</v>
          </cell>
          <cell r="N835">
            <v>391.45</v>
          </cell>
        </row>
        <row r="836">
          <cell r="D836" t="str">
            <v>Printer</v>
          </cell>
          <cell r="E836">
            <v>5</v>
          </cell>
          <cell r="F836">
            <v>22.14</v>
          </cell>
          <cell r="K836">
            <v>10</v>
          </cell>
          <cell r="N836">
            <v>110.7</v>
          </cell>
        </row>
        <row r="837">
          <cell r="D837" t="str">
            <v>Desk</v>
          </cell>
          <cell r="E837">
            <v>1</v>
          </cell>
          <cell r="F837">
            <v>679.65</v>
          </cell>
          <cell r="K837">
            <v>6</v>
          </cell>
          <cell r="N837">
            <v>679.65</v>
          </cell>
        </row>
        <row r="838">
          <cell r="D838" t="str">
            <v>Phone</v>
          </cell>
          <cell r="E838">
            <v>1</v>
          </cell>
          <cell r="F838">
            <v>178.44</v>
          </cell>
          <cell r="K838">
            <v>2</v>
          </cell>
          <cell r="N838">
            <v>178.44</v>
          </cell>
        </row>
        <row r="839">
          <cell r="D839" t="str">
            <v>Chair</v>
          </cell>
          <cell r="E839">
            <v>5</v>
          </cell>
          <cell r="F839">
            <v>655.55</v>
          </cell>
          <cell r="K839">
            <v>5</v>
          </cell>
          <cell r="N839">
            <v>3277.75</v>
          </cell>
        </row>
        <row r="840">
          <cell r="D840" t="str">
            <v>Desk</v>
          </cell>
          <cell r="E840">
            <v>4</v>
          </cell>
          <cell r="F840">
            <v>577.08000000000004</v>
          </cell>
          <cell r="K840">
            <v>8</v>
          </cell>
          <cell r="N840">
            <v>2308.3200000000002</v>
          </cell>
        </row>
        <row r="841">
          <cell r="D841" t="str">
            <v>Chair</v>
          </cell>
          <cell r="E841">
            <v>3</v>
          </cell>
          <cell r="F841">
            <v>197.97</v>
          </cell>
          <cell r="K841">
            <v>5</v>
          </cell>
          <cell r="N841">
            <v>593.91</v>
          </cell>
        </row>
        <row r="842">
          <cell r="D842" t="str">
            <v>Chair</v>
          </cell>
          <cell r="E842">
            <v>3</v>
          </cell>
          <cell r="F842">
            <v>411.95</v>
          </cell>
          <cell r="K842">
            <v>7</v>
          </cell>
          <cell r="N842">
            <v>1235.8499999999999</v>
          </cell>
        </row>
        <row r="843">
          <cell r="D843" t="str">
            <v>Printer</v>
          </cell>
          <cell r="E843">
            <v>2</v>
          </cell>
          <cell r="F843">
            <v>443.22</v>
          </cell>
          <cell r="K843">
            <v>5</v>
          </cell>
          <cell r="N843">
            <v>886.44</v>
          </cell>
        </row>
        <row r="844">
          <cell r="D844" t="str">
            <v>Laptop</v>
          </cell>
          <cell r="E844">
            <v>3</v>
          </cell>
          <cell r="F844">
            <v>364.14</v>
          </cell>
          <cell r="K844">
            <v>7</v>
          </cell>
          <cell r="N844">
            <v>1092.42</v>
          </cell>
        </row>
        <row r="845">
          <cell r="D845" t="str">
            <v>Desk</v>
          </cell>
          <cell r="E845">
            <v>3</v>
          </cell>
          <cell r="F845">
            <v>430.06</v>
          </cell>
          <cell r="K845">
            <v>8</v>
          </cell>
          <cell r="N845">
            <v>1290.18</v>
          </cell>
        </row>
        <row r="846">
          <cell r="D846" t="str">
            <v>Chair</v>
          </cell>
          <cell r="E846">
            <v>1</v>
          </cell>
          <cell r="F846">
            <v>320.92</v>
          </cell>
          <cell r="K846">
            <v>5</v>
          </cell>
          <cell r="N846">
            <v>320.92</v>
          </cell>
        </row>
        <row r="847">
          <cell r="D847" t="str">
            <v>Phone</v>
          </cell>
          <cell r="E847">
            <v>3</v>
          </cell>
          <cell r="F847">
            <v>107.36</v>
          </cell>
          <cell r="K847">
            <v>5</v>
          </cell>
          <cell r="N847">
            <v>322.08</v>
          </cell>
        </row>
        <row r="848">
          <cell r="D848" t="str">
            <v>Desk</v>
          </cell>
          <cell r="E848">
            <v>2</v>
          </cell>
          <cell r="F848">
            <v>359.86</v>
          </cell>
          <cell r="K848">
            <v>4</v>
          </cell>
          <cell r="N848">
            <v>719.72</v>
          </cell>
        </row>
        <row r="849">
          <cell r="D849" t="str">
            <v>Printer</v>
          </cell>
          <cell r="E849">
            <v>4</v>
          </cell>
          <cell r="F849">
            <v>434.23</v>
          </cell>
          <cell r="K849">
            <v>8</v>
          </cell>
          <cell r="N849">
            <v>1736.92</v>
          </cell>
        </row>
        <row r="850">
          <cell r="D850" t="str">
            <v>Chair</v>
          </cell>
          <cell r="E850">
            <v>2</v>
          </cell>
          <cell r="F850">
            <v>645.85</v>
          </cell>
          <cell r="K850">
            <v>5</v>
          </cell>
          <cell r="N850">
            <v>1291.7</v>
          </cell>
        </row>
        <row r="851">
          <cell r="D851" t="str">
            <v>Printer</v>
          </cell>
          <cell r="E851">
            <v>4</v>
          </cell>
          <cell r="F851">
            <v>214.35</v>
          </cell>
          <cell r="K851">
            <v>7</v>
          </cell>
          <cell r="N851">
            <v>857.4</v>
          </cell>
        </row>
        <row r="852">
          <cell r="D852" t="str">
            <v>Monitor</v>
          </cell>
          <cell r="E852">
            <v>3</v>
          </cell>
          <cell r="F852">
            <v>638.5</v>
          </cell>
          <cell r="K852">
            <v>4</v>
          </cell>
          <cell r="N852">
            <v>1915.5</v>
          </cell>
        </row>
        <row r="853">
          <cell r="D853" t="str">
            <v>Laptop</v>
          </cell>
          <cell r="E853">
            <v>1</v>
          </cell>
          <cell r="F853">
            <v>365.57</v>
          </cell>
          <cell r="K853">
            <v>5</v>
          </cell>
          <cell r="N853">
            <v>365.57</v>
          </cell>
        </row>
        <row r="854">
          <cell r="D854" t="str">
            <v>Desk</v>
          </cell>
          <cell r="E854">
            <v>3</v>
          </cell>
          <cell r="F854">
            <v>568.04999999999995</v>
          </cell>
          <cell r="K854">
            <v>6</v>
          </cell>
          <cell r="N854">
            <v>1704.15</v>
          </cell>
        </row>
        <row r="855">
          <cell r="D855" t="str">
            <v>Printer</v>
          </cell>
          <cell r="E855">
            <v>3</v>
          </cell>
          <cell r="F855">
            <v>490.01</v>
          </cell>
          <cell r="K855">
            <v>4</v>
          </cell>
          <cell r="N855">
            <v>1470.03</v>
          </cell>
        </row>
        <row r="856">
          <cell r="D856" t="str">
            <v>Laptop</v>
          </cell>
          <cell r="E856">
            <v>3</v>
          </cell>
          <cell r="F856">
            <v>372.6</v>
          </cell>
          <cell r="K856">
            <v>7</v>
          </cell>
          <cell r="N856">
            <v>1117.8</v>
          </cell>
        </row>
        <row r="857">
          <cell r="D857" t="str">
            <v>Monitor</v>
          </cell>
          <cell r="E857">
            <v>5</v>
          </cell>
          <cell r="F857">
            <v>240.61</v>
          </cell>
          <cell r="K857">
            <v>10</v>
          </cell>
          <cell r="N857">
            <v>1203.05</v>
          </cell>
        </row>
        <row r="858">
          <cell r="D858" t="str">
            <v>Phone</v>
          </cell>
          <cell r="E858">
            <v>1</v>
          </cell>
          <cell r="F858">
            <v>586.62</v>
          </cell>
          <cell r="K858">
            <v>5</v>
          </cell>
          <cell r="N858">
            <v>586.62</v>
          </cell>
        </row>
        <row r="859">
          <cell r="D859" t="str">
            <v>Phone</v>
          </cell>
          <cell r="E859">
            <v>3</v>
          </cell>
          <cell r="F859">
            <v>257.83999999999997</v>
          </cell>
          <cell r="K859">
            <v>4</v>
          </cell>
          <cell r="N859">
            <v>773.52</v>
          </cell>
        </row>
        <row r="860">
          <cell r="D860" t="str">
            <v>Tablet</v>
          </cell>
          <cell r="E860">
            <v>5</v>
          </cell>
          <cell r="F860">
            <v>435.66</v>
          </cell>
          <cell r="K860">
            <v>9</v>
          </cell>
          <cell r="N860">
            <v>2178.3000000000002</v>
          </cell>
        </row>
        <row r="861">
          <cell r="D861" t="str">
            <v>Chair</v>
          </cell>
          <cell r="E861">
            <v>5</v>
          </cell>
          <cell r="F861">
            <v>261.33</v>
          </cell>
          <cell r="K861">
            <v>5</v>
          </cell>
          <cell r="N861">
            <v>1306.6500000000001</v>
          </cell>
        </row>
        <row r="862">
          <cell r="D862" t="str">
            <v>Printer</v>
          </cell>
          <cell r="E862">
            <v>1</v>
          </cell>
          <cell r="F862">
            <v>422.54</v>
          </cell>
          <cell r="K862">
            <v>1</v>
          </cell>
          <cell r="N862">
            <v>422.54</v>
          </cell>
        </row>
        <row r="863">
          <cell r="D863" t="str">
            <v>Desk</v>
          </cell>
          <cell r="E863">
            <v>5</v>
          </cell>
          <cell r="F863">
            <v>330.45</v>
          </cell>
          <cell r="K863">
            <v>10</v>
          </cell>
          <cell r="N863">
            <v>1652.25</v>
          </cell>
        </row>
        <row r="864">
          <cell r="D864" t="str">
            <v>Desk</v>
          </cell>
          <cell r="E864">
            <v>3</v>
          </cell>
          <cell r="F864">
            <v>120.82</v>
          </cell>
          <cell r="K864">
            <v>5</v>
          </cell>
          <cell r="N864">
            <v>362.46</v>
          </cell>
        </row>
        <row r="865">
          <cell r="D865" t="str">
            <v>Phone</v>
          </cell>
          <cell r="E865">
            <v>1</v>
          </cell>
          <cell r="F865">
            <v>14.06</v>
          </cell>
          <cell r="K865">
            <v>5</v>
          </cell>
          <cell r="N865">
            <v>14.06</v>
          </cell>
        </row>
        <row r="866">
          <cell r="D866" t="str">
            <v>Desk</v>
          </cell>
          <cell r="E866">
            <v>1</v>
          </cell>
          <cell r="F866">
            <v>491.11</v>
          </cell>
          <cell r="K866">
            <v>4</v>
          </cell>
          <cell r="N866">
            <v>491.11</v>
          </cell>
        </row>
        <row r="867">
          <cell r="D867" t="str">
            <v>Monitor</v>
          </cell>
          <cell r="E867">
            <v>4</v>
          </cell>
          <cell r="F867">
            <v>677.37</v>
          </cell>
          <cell r="K867">
            <v>8</v>
          </cell>
          <cell r="N867">
            <v>2709.48</v>
          </cell>
        </row>
        <row r="868">
          <cell r="D868" t="str">
            <v>Desk</v>
          </cell>
          <cell r="E868">
            <v>5</v>
          </cell>
          <cell r="F868">
            <v>189.25</v>
          </cell>
          <cell r="K868">
            <v>10</v>
          </cell>
          <cell r="N868">
            <v>946.25</v>
          </cell>
        </row>
        <row r="869">
          <cell r="D869" t="str">
            <v>Printer</v>
          </cell>
          <cell r="E869">
            <v>4</v>
          </cell>
          <cell r="F869">
            <v>142.58000000000001</v>
          </cell>
          <cell r="K869">
            <v>4</v>
          </cell>
          <cell r="N869">
            <v>570.32000000000005</v>
          </cell>
        </row>
        <row r="870">
          <cell r="D870" t="str">
            <v>Monitor</v>
          </cell>
          <cell r="E870">
            <v>4</v>
          </cell>
          <cell r="F870">
            <v>316.32</v>
          </cell>
          <cell r="K870">
            <v>7</v>
          </cell>
          <cell r="N870">
            <v>1265.28</v>
          </cell>
        </row>
        <row r="871">
          <cell r="D871" t="str">
            <v>Desk</v>
          </cell>
          <cell r="E871">
            <v>2</v>
          </cell>
          <cell r="F871">
            <v>533.95000000000005</v>
          </cell>
          <cell r="K871">
            <v>5</v>
          </cell>
          <cell r="N871">
            <v>1067.9000000000001</v>
          </cell>
        </row>
        <row r="872">
          <cell r="D872" t="str">
            <v>Phone</v>
          </cell>
          <cell r="E872">
            <v>4</v>
          </cell>
          <cell r="F872">
            <v>470.09</v>
          </cell>
          <cell r="K872">
            <v>4</v>
          </cell>
          <cell r="N872">
            <v>1880.36</v>
          </cell>
        </row>
        <row r="873">
          <cell r="D873" t="str">
            <v>Tablet</v>
          </cell>
          <cell r="E873">
            <v>3</v>
          </cell>
          <cell r="F873">
            <v>324.3</v>
          </cell>
          <cell r="K873">
            <v>8</v>
          </cell>
          <cell r="N873">
            <v>972.9</v>
          </cell>
        </row>
        <row r="874">
          <cell r="D874" t="str">
            <v>Chair</v>
          </cell>
          <cell r="E874">
            <v>4</v>
          </cell>
          <cell r="F874">
            <v>629.34</v>
          </cell>
          <cell r="K874">
            <v>7</v>
          </cell>
          <cell r="N874">
            <v>2517.36</v>
          </cell>
        </row>
        <row r="875">
          <cell r="D875" t="str">
            <v>Desk</v>
          </cell>
          <cell r="E875">
            <v>3</v>
          </cell>
          <cell r="F875">
            <v>136.84</v>
          </cell>
          <cell r="K875">
            <v>3</v>
          </cell>
          <cell r="N875">
            <v>410.52</v>
          </cell>
        </row>
        <row r="876">
          <cell r="D876" t="str">
            <v>Chair</v>
          </cell>
          <cell r="E876">
            <v>2</v>
          </cell>
          <cell r="F876">
            <v>488.9</v>
          </cell>
          <cell r="K876">
            <v>7</v>
          </cell>
          <cell r="N876">
            <v>977.8</v>
          </cell>
        </row>
        <row r="877">
          <cell r="D877" t="str">
            <v>Laptop</v>
          </cell>
          <cell r="E877">
            <v>5</v>
          </cell>
          <cell r="F877">
            <v>133.38999999999999</v>
          </cell>
          <cell r="K877">
            <v>6</v>
          </cell>
          <cell r="N877">
            <v>666.95</v>
          </cell>
        </row>
        <row r="878">
          <cell r="D878" t="str">
            <v>Chair</v>
          </cell>
          <cell r="E878">
            <v>5</v>
          </cell>
          <cell r="F878">
            <v>608.91</v>
          </cell>
          <cell r="K878">
            <v>6</v>
          </cell>
          <cell r="N878">
            <v>3044.55</v>
          </cell>
        </row>
        <row r="879">
          <cell r="D879" t="str">
            <v>Tablet</v>
          </cell>
          <cell r="E879">
            <v>1</v>
          </cell>
          <cell r="F879">
            <v>524.05999999999995</v>
          </cell>
          <cell r="K879">
            <v>3</v>
          </cell>
          <cell r="N879">
            <v>524.05999999999995</v>
          </cell>
        </row>
        <row r="880">
          <cell r="D880" t="str">
            <v>Desk</v>
          </cell>
          <cell r="E880">
            <v>2</v>
          </cell>
          <cell r="F880">
            <v>330.69</v>
          </cell>
          <cell r="K880">
            <v>5</v>
          </cell>
          <cell r="N880">
            <v>661.38</v>
          </cell>
        </row>
        <row r="881">
          <cell r="D881" t="str">
            <v>Phone</v>
          </cell>
          <cell r="E881">
            <v>2</v>
          </cell>
          <cell r="F881">
            <v>547.66999999999996</v>
          </cell>
          <cell r="K881">
            <v>3</v>
          </cell>
          <cell r="N881">
            <v>1095.3399999999999</v>
          </cell>
        </row>
        <row r="882">
          <cell r="D882" t="str">
            <v>Laptop</v>
          </cell>
          <cell r="E882">
            <v>4</v>
          </cell>
          <cell r="F882">
            <v>233.7</v>
          </cell>
          <cell r="K882">
            <v>8</v>
          </cell>
          <cell r="N882">
            <v>934.8</v>
          </cell>
        </row>
        <row r="883">
          <cell r="D883" t="str">
            <v>Tablet</v>
          </cell>
          <cell r="E883">
            <v>2</v>
          </cell>
          <cell r="F883">
            <v>448.85</v>
          </cell>
          <cell r="K883">
            <v>6</v>
          </cell>
          <cell r="N883">
            <v>897.7</v>
          </cell>
        </row>
        <row r="884">
          <cell r="D884" t="str">
            <v>Phone</v>
          </cell>
          <cell r="E884">
            <v>2</v>
          </cell>
          <cell r="F884">
            <v>274.12</v>
          </cell>
          <cell r="K884">
            <v>6</v>
          </cell>
          <cell r="N884">
            <v>548.24</v>
          </cell>
        </row>
        <row r="885">
          <cell r="D885" t="str">
            <v>Printer</v>
          </cell>
          <cell r="E885">
            <v>5</v>
          </cell>
          <cell r="F885">
            <v>561.48</v>
          </cell>
          <cell r="K885">
            <v>9</v>
          </cell>
          <cell r="N885">
            <v>2807.4</v>
          </cell>
        </row>
        <row r="886">
          <cell r="D886" t="str">
            <v>Chair</v>
          </cell>
          <cell r="E886">
            <v>1</v>
          </cell>
          <cell r="F886">
            <v>595.54</v>
          </cell>
          <cell r="K886">
            <v>4</v>
          </cell>
          <cell r="N886">
            <v>595.54</v>
          </cell>
        </row>
        <row r="887">
          <cell r="D887" t="str">
            <v>Laptop</v>
          </cell>
          <cell r="E887">
            <v>4</v>
          </cell>
          <cell r="F887">
            <v>515.59</v>
          </cell>
          <cell r="K887">
            <v>7</v>
          </cell>
          <cell r="N887">
            <v>2062.36</v>
          </cell>
        </row>
        <row r="888">
          <cell r="D888" t="str">
            <v>Phone</v>
          </cell>
          <cell r="E888">
            <v>1</v>
          </cell>
          <cell r="F888">
            <v>460.13</v>
          </cell>
          <cell r="K888">
            <v>1</v>
          </cell>
          <cell r="N888">
            <v>460.13</v>
          </cell>
        </row>
        <row r="889">
          <cell r="D889" t="str">
            <v>Chair</v>
          </cell>
          <cell r="E889">
            <v>3</v>
          </cell>
          <cell r="F889">
            <v>171.66</v>
          </cell>
          <cell r="K889">
            <v>7</v>
          </cell>
          <cell r="N889">
            <v>514.98</v>
          </cell>
        </row>
        <row r="890">
          <cell r="D890" t="str">
            <v>Laptop</v>
          </cell>
          <cell r="E890">
            <v>2</v>
          </cell>
          <cell r="F890">
            <v>266.95</v>
          </cell>
          <cell r="K890">
            <v>3</v>
          </cell>
          <cell r="N890">
            <v>533.9</v>
          </cell>
        </row>
        <row r="891">
          <cell r="D891" t="str">
            <v>Monitor</v>
          </cell>
          <cell r="E891">
            <v>5</v>
          </cell>
          <cell r="F891">
            <v>650.72</v>
          </cell>
          <cell r="K891">
            <v>8</v>
          </cell>
          <cell r="N891">
            <v>3253.6</v>
          </cell>
        </row>
        <row r="892">
          <cell r="D892" t="str">
            <v>Laptop</v>
          </cell>
          <cell r="E892">
            <v>3</v>
          </cell>
          <cell r="F892">
            <v>439.53</v>
          </cell>
          <cell r="K892">
            <v>5</v>
          </cell>
          <cell r="N892">
            <v>1318.59</v>
          </cell>
        </row>
        <row r="893">
          <cell r="D893" t="str">
            <v>Monitor</v>
          </cell>
          <cell r="E893">
            <v>3</v>
          </cell>
          <cell r="F893">
            <v>654.54</v>
          </cell>
          <cell r="K893">
            <v>7</v>
          </cell>
          <cell r="N893">
            <v>1963.62</v>
          </cell>
        </row>
        <row r="894">
          <cell r="D894" t="str">
            <v>Desk</v>
          </cell>
          <cell r="E894">
            <v>1</v>
          </cell>
          <cell r="F894">
            <v>394.53</v>
          </cell>
          <cell r="K894">
            <v>2</v>
          </cell>
          <cell r="N894">
            <v>394.53</v>
          </cell>
        </row>
        <row r="895">
          <cell r="D895" t="str">
            <v>Monitor</v>
          </cell>
          <cell r="E895">
            <v>1</v>
          </cell>
          <cell r="F895">
            <v>678.01</v>
          </cell>
          <cell r="K895">
            <v>4</v>
          </cell>
          <cell r="N895">
            <v>678.01</v>
          </cell>
        </row>
        <row r="896">
          <cell r="D896" t="str">
            <v>Tablet</v>
          </cell>
          <cell r="E896">
            <v>3</v>
          </cell>
          <cell r="F896">
            <v>575.01</v>
          </cell>
          <cell r="K896">
            <v>8</v>
          </cell>
          <cell r="N896">
            <v>1725.03</v>
          </cell>
        </row>
        <row r="897">
          <cell r="D897" t="str">
            <v>Chair</v>
          </cell>
          <cell r="E897">
            <v>3</v>
          </cell>
          <cell r="F897">
            <v>154.63999999999999</v>
          </cell>
          <cell r="K897">
            <v>6</v>
          </cell>
          <cell r="N897">
            <v>463.92</v>
          </cell>
        </row>
        <row r="898">
          <cell r="D898" t="str">
            <v>Desk</v>
          </cell>
          <cell r="E898">
            <v>3</v>
          </cell>
          <cell r="F898">
            <v>147.29</v>
          </cell>
          <cell r="K898">
            <v>3</v>
          </cell>
          <cell r="N898">
            <v>441.87</v>
          </cell>
        </row>
        <row r="899">
          <cell r="D899" t="str">
            <v>Laptop</v>
          </cell>
          <cell r="E899">
            <v>4</v>
          </cell>
          <cell r="F899">
            <v>481.48</v>
          </cell>
          <cell r="K899">
            <v>5</v>
          </cell>
          <cell r="N899">
            <v>1925.92</v>
          </cell>
        </row>
        <row r="900">
          <cell r="D900" t="str">
            <v>Monitor</v>
          </cell>
          <cell r="E900">
            <v>3</v>
          </cell>
          <cell r="F900">
            <v>158.37</v>
          </cell>
          <cell r="K900">
            <v>6</v>
          </cell>
          <cell r="N900">
            <v>475.11</v>
          </cell>
        </row>
        <row r="901">
          <cell r="D901" t="str">
            <v>Printer</v>
          </cell>
          <cell r="E901">
            <v>2</v>
          </cell>
          <cell r="F901">
            <v>323.37</v>
          </cell>
          <cell r="K901">
            <v>3</v>
          </cell>
          <cell r="N901">
            <v>646.74</v>
          </cell>
        </row>
        <row r="902">
          <cell r="D902" t="str">
            <v>Laptop</v>
          </cell>
          <cell r="E902">
            <v>5</v>
          </cell>
          <cell r="F902">
            <v>73.83</v>
          </cell>
          <cell r="K902">
            <v>9</v>
          </cell>
          <cell r="N902">
            <v>369.15</v>
          </cell>
        </row>
        <row r="903">
          <cell r="D903" t="str">
            <v>Tablet</v>
          </cell>
          <cell r="E903">
            <v>1</v>
          </cell>
          <cell r="F903">
            <v>458.63</v>
          </cell>
          <cell r="K903">
            <v>4</v>
          </cell>
          <cell r="N903">
            <v>458.63</v>
          </cell>
        </row>
        <row r="904">
          <cell r="D904" t="str">
            <v>Monitor</v>
          </cell>
          <cell r="E904">
            <v>4</v>
          </cell>
          <cell r="F904">
            <v>180.25</v>
          </cell>
          <cell r="K904">
            <v>7</v>
          </cell>
          <cell r="N904">
            <v>721</v>
          </cell>
        </row>
        <row r="905">
          <cell r="D905" t="str">
            <v>Monitor</v>
          </cell>
          <cell r="E905">
            <v>3</v>
          </cell>
          <cell r="F905">
            <v>473.49</v>
          </cell>
          <cell r="K905">
            <v>7</v>
          </cell>
          <cell r="N905">
            <v>1420.47</v>
          </cell>
        </row>
        <row r="906">
          <cell r="D906" t="str">
            <v>Monitor</v>
          </cell>
          <cell r="E906">
            <v>4</v>
          </cell>
          <cell r="F906">
            <v>237.43</v>
          </cell>
          <cell r="K906">
            <v>8</v>
          </cell>
          <cell r="N906">
            <v>949.72</v>
          </cell>
        </row>
        <row r="907">
          <cell r="D907" t="str">
            <v>Laptop</v>
          </cell>
          <cell r="E907">
            <v>1</v>
          </cell>
          <cell r="F907">
            <v>442.39</v>
          </cell>
          <cell r="K907">
            <v>6</v>
          </cell>
          <cell r="N907">
            <v>442.39</v>
          </cell>
        </row>
        <row r="908">
          <cell r="D908" t="str">
            <v>Monitor</v>
          </cell>
          <cell r="E908">
            <v>1</v>
          </cell>
          <cell r="F908">
            <v>62.12</v>
          </cell>
          <cell r="K908">
            <v>2</v>
          </cell>
          <cell r="N908">
            <v>62.12</v>
          </cell>
        </row>
        <row r="909">
          <cell r="D909" t="str">
            <v>Desk</v>
          </cell>
          <cell r="E909">
            <v>5</v>
          </cell>
          <cell r="F909">
            <v>298.39</v>
          </cell>
          <cell r="K909">
            <v>7</v>
          </cell>
          <cell r="N909">
            <v>1491.95</v>
          </cell>
        </row>
        <row r="910">
          <cell r="D910" t="str">
            <v>Desk</v>
          </cell>
          <cell r="E910">
            <v>2</v>
          </cell>
          <cell r="F910">
            <v>697.93</v>
          </cell>
          <cell r="K910">
            <v>2</v>
          </cell>
          <cell r="N910">
            <v>1395.86</v>
          </cell>
        </row>
        <row r="911">
          <cell r="D911" t="str">
            <v>Tablet</v>
          </cell>
          <cell r="E911">
            <v>2</v>
          </cell>
          <cell r="F911">
            <v>291.85000000000002</v>
          </cell>
          <cell r="K911">
            <v>5</v>
          </cell>
          <cell r="N911">
            <v>583.70000000000005</v>
          </cell>
        </row>
        <row r="912">
          <cell r="D912" t="str">
            <v>Printer</v>
          </cell>
          <cell r="E912">
            <v>3</v>
          </cell>
          <cell r="F912">
            <v>308.98</v>
          </cell>
          <cell r="K912">
            <v>3</v>
          </cell>
          <cell r="N912">
            <v>926.94</v>
          </cell>
        </row>
        <row r="913">
          <cell r="D913" t="str">
            <v>Desk</v>
          </cell>
          <cell r="E913">
            <v>5</v>
          </cell>
          <cell r="F913">
            <v>396.86</v>
          </cell>
          <cell r="K913">
            <v>9</v>
          </cell>
          <cell r="N913">
            <v>1984.3</v>
          </cell>
        </row>
        <row r="914">
          <cell r="D914" t="str">
            <v>Desk</v>
          </cell>
          <cell r="E914">
            <v>2</v>
          </cell>
          <cell r="F914">
            <v>139.69</v>
          </cell>
          <cell r="K914">
            <v>7</v>
          </cell>
          <cell r="N914">
            <v>279.38</v>
          </cell>
        </row>
        <row r="915">
          <cell r="D915" t="str">
            <v>Printer</v>
          </cell>
          <cell r="E915">
            <v>5</v>
          </cell>
          <cell r="F915">
            <v>475.95</v>
          </cell>
          <cell r="K915">
            <v>8</v>
          </cell>
          <cell r="N915">
            <v>2379.75</v>
          </cell>
        </row>
        <row r="916">
          <cell r="D916" t="str">
            <v>Desk</v>
          </cell>
          <cell r="E916">
            <v>1</v>
          </cell>
          <cell r="F916">
            <v>626.6</v>
          </cell>
          <cell r="K916">
            <v>4</v>
          </cell>
          <cell r="N916">
            <v>626.6</v>
          </cell>
        </row>
        <row r="917">
          <cell r="D917" t="str">
            <v>Laptop</v>
          </cell>
          <cell r="E917">
            <v>4</v>
          </cell>
          <cell r="F917">
            <v>502.99</v>
          </cell>
          <cell r="K917">
            <v>4</v>
          </cell>
          <cell r="N917">
            <v>2011.96</v>
          </cell>
        </row>
        <row r="918">
          <cell r="D918" t="str">
            <v>Printer</v>
          </cell>
          <cell r="E918">
            <v>5</v>
          </cell>
          <cell r="F918">
            <v>578.83000000000004</v>
          </cell>
          <cell r="K918">
            <v>6</v>
          </cell>
          <cell r="N918">
            <v>2894.15</v>
          </cell>
        </row>
        <row r="919">
          <cell r="D919" t="str">
            <v>Laptop</v>
          </cell>
          <cell r="E919">
            <v>5</v>
          </cell>
          <cell r="F919">
            <v>383.82</v>
          </cell>
          <cell r="K919">
            <v>7</v>
          </cell>
          <cell r="N919">
            <v>1919.1</v>
          </cell>
        </row>
        <row r="920">
          <cell r="D920" t="str">
            <v>Laptop</v>
          </cell>
          <cell r="E920">
            <v>5</v>
          </cell>
          <cell r="F920">
            <v>368.25</v>
          </cell>
          <cell r="K920">
            <v>5</v>
          </cell>
          <cell r="N920">
            <v>1841.25</v>
          </cell>
        </row>
        <row r="921">
          <cell r="D921" t="str">
            <v>Printer</v>
          </cell>
          <cell r="E921">
            <v>2</v>
          </cell>
          <cell r="F921">
            <v>374.6</v>
          </cell>
          <cell r="K921">
            <v>3</v>
          </cell>
          <cell r="N921">
            <v>749.2</v>
          </cell>
        </row>
        <row r="922">
          <cell r="D922" t="str">
            <v>Tablet</v>
          </cell>
          <cell r="E922">
            <v>2</v>
          </cell>
          <cell r="F922">
            <v>428.09</v>
          </cell>
          <cell r="K922">
            <v>6</v>
          </cell>
          <cell r="N922">
            <v>856.18</v>
          </cell>
        </row>
        <row r="923">
          <cell r="D923" t="str">
            <v>Tablet</v>
          </cell>
          <cell r="E923">
            <v>1</v>
          </cell>
          <cell r="F923">
            <v>438.93</v>
          </cell>
          <cell r="K923">
            <v>3</v>
          </cell>
          <cell r="N923">
            <v>438.93</v>
          </cell>
        </row>
        <row r="924">
          <cell r="D924" t="str">
            <v>Desk</v>
          </cell>
          <cell r="E924">
            <v>2</v>
          </cell>
          <cell r="F924">
            <v>563.82000000000005</v>
          </cell>
          <cell r="K924">
            <v>3</v>
          </cell>
          <cell r="N924">
            <v>1127.6400000000001</v>
          </cell>
        </row>
        <row r="925">
          <cell r="D925" t="str">
            <v>Printer</v>
          </cell>
          <cell r="E925">
            <v>3</v>
          </cell>
          <cell r="F925">
            <v>649.92999999999995</v>
          </cell>
          <cell r="K925">
            <v>7</v>
          </cell>
          <cell r="N925">
            <v>1949.79</v>
          </cell>
        </row>
        <row r="926">
          <cell r="D926" t="str">
            <v>Printer</v>
          </cell>
          <cell r="E926">
            <v>5</v>
          </cell>
          <cell r="F926">
            <v>268.43</v>
          </cell>
          <cell r="K926">
            <v>5</v>
          </cell>
          <cell r="N926">
            <v>1342.15</v>
          </cell>
        </row>
        <row r="927">
          <cell r="D927" t="str">
            <v>Monitor</v>
          </cell>
          <cell r="E927">
            <v>5</v>
          </cell>
          <cell r="F927">
            <v>502.47</v>
          </cell>
          <cell r="K927">
            <v>10</v>
          </cell>
          <cell r="N927">
            <v>2512.35</v>
          </cell>
        </row>
        <row r="928">
          <cell r="D928" t="str">
            <v>Desk</v>
          </cell>
          <cell r="E928">
            <v>1</v>
          </cell>
          <cell r="F928">
            <v>26.95</v>
          </cell>
          <cell r="K928">
            <v>1</v>
          </cell>
          <cell r="N928">
            <v>26.95</v>
          </cell>
        </row>
        <row r="929">
          <cell r="D929" t="str">
            <v>Laptop</v>
          </cell>
          <cell r="E929">
            <v>4</v>
          </cell>
          <cell r="F929">
            <v>64.69</v>
          </cell>
          <cell r="K929">
            <v>7</v>
          </cell>
          <cell r="N929">
            <v>258.76</v>
          </cell>
        </row>
        <row r="930">
          <cell r="D930" t="str">
            <v>Laptop</v>
          </cell>
          <cell r="E930">
            <v>3</v>
          </cell>
          <cell r="F930">
            <v>247.11</v>
          </cell>
          <cell r="K930">
            <v>3</v>
          </cell>
          <cell r="N930">
            <v>741.33</v>
          </cell>
        </row>
        <row r="931">
          <cell r="D931" t="str">
            <v>Tablet</v>
          </cell>
          <cell r="E931">
            <v>2</v>
          </cell>
          <cell r="F931">
            <v>536.25</v>
          </cell>
          <cell r="K931">
            <v>3</v>
          </cell>
          <cell r="N931">
            <v>1072.5</v>
          </cell>
        </row>
        <row r="932">
          <cell r="D932" t="str">
            <v>Phone</v>
          </cell>
          <cell r="E932">
            <v>2</v>
          </cell>
          <cell r="F932">
            <v>456.04</v>
          </cell>
          <cell r="K932">
            <v>4</v>
          </cell>
          <cell r="N932">
            <v>912.08</v>
          </cell>
        </row>
        <row r="933">
          <cell r="D933" t="str">
            <v>Printer</v>
          </cell>
          <cell r="E933">
            <v>2</v>
          </cell>
          <cell r="F933">
            <v>40.229999999999997</v>
          </cell>
          <cell r="K933">
            <v>4</v>
          </cell>
          <cell r="N933">
            <v>80.459999999999994</v>
          </cell>
        </row>
        <row r="934">
          <cell r="D934" t="str">
            <v>Laptop</v>
          </cell>
          <cell r="E934">
            <v>2</v>
          </cell>
          <cell r="F934">
            <v>72.39</v>
          </cell>
          <cell r="K934">
            <v>7</v>
          </cell>
          <cell r="N934">
            <v>144.78</v>
          </cell>
        </row>
        <row r="935">
          <cell r="D935" t="str">
            <v>Monitor</v>
          </cell>
          <cell r="E935">
            <v>2</v>
          </cell>
          <cell r="F935">
            <v>394.16</v>
          </cell>
          <cell r="K935">
            <v>2</v>
          </cell>
          <cell r="N935">
            <v>788.32</v>
          </cell>
        </row>
        <row r="936">
          <cell r="D936" t="str">
            <v>Laptop</v>
          </cell>
          <cell r="E936">
            <v>4</v>
          </cell>
          <cell r="F936">
            <v>119.84</v>
          </cell>
          <cell r="K936">
            <v>8</v>
          </cell>
          <cell r="N936">
            <v>479.36</v>
          </cell>
        </row>
        <row r="937">
          <cell r="D937" t="str">
            <v>Phone</v>
          </cell>
          <cell r="E937">
            <v>3</v>
          </cell>
          <cell r="F937">
            <v>692.71</v>
          </cell>
          <cell r="K937">
            <v>3</v>
          </cell>
          <cell r="N937">
            <v>2078.13</v>
          </cell>
        </row>
        <row r="938">
          <cell r="D938" t="str">
            <v>Chair</v>
          </cell>
          <cell r="E938">
            <v>4</v>
          </cell>
          <cell r="F938">
            <v>56.66</v>
          </cell>
          <cell r="K938">
            <v>4</v>
          </cell>
          <cell r="N938">
            <v>226.64</v>
          </cell>
        </row>
        <row r="939">
          <cell r="D939" t="str">
            <v>Chair</v>
          </cell>
          <cell r="E939">
            <v>2</v>
          </cell>
          <cell r="F939">
            <v>298.52999999999997</v>
          </cell>
          <cell r="K939">
            <v>5</v>
          </cell>
          <cell r="N939">
            <v>597.05999999999995</v>
          </cell>
        </row>
        <row r="940">
          <cell r="D940" t="str">
            <v>Chair</v>
          </cell>
          <cell r="E940">
            <v>3</v>
          </cell>
          <cell r="F940">
            <v>331.46</v>
          </cell>
          <cell r="K940">
            <v>6</v>
          </cell>
          <cell r="N940">
            <v>994.38</v>
          </cell>
        </row>
        <row r="941">
          <cell r="D941" t="str">
            <v>Laptop</v>
          </cell>
          <cell r="E941">
            <v>2</v>
          </cell>
          <cell r="F941">
            <v>521.4</v>
          </cell>
          <cell r="K941">
            <v>7</v>
          </cell>
          <cell r="N941">
            <v>1042.8</v>
          </cell>
        </row>
        <row r="942">
          <cell r="D942" t="str">
            <v>Printer</v>
          </cell>
          <cell r="E942">
            <v>4</v>
          </cell>
          <cell r="F942">
            <v>305.32</v>
          </cell>
          <cell r="K942">
            <v>4</v>
          </cell>
          <cell r="N942">
            <v>1221.28</v>
          </cell>
        </row>
        <row r="943">
          <cell r="D943" t="str">
            <v>Printer</v>
          </cell>
          <cell r="E943">
            <v>5</v>
          </cell>
          <cell r="F943">
            <v>111.7</v>
          </cell>
          <cell r="K943">
            <v>9</v>
          </cell>
          <cell r="N943">
            <v>558.5</v>
          </cell>
        </row>
        <row r="944">
          <cell r="D944" t="str">
            <v>Tablet</v>
          </cell>
          <cell r="E944">
            <v>1</v>
          </cell>
          <cell r="F944">
            <v>479.76</v>
          </cell>
          <cell r="K944">
            <v>1</v>
          </cell>
          <cell r="N944">
            <v>479.76</v>
          </cell>
        </row>
        <row r="945">
          <cell r="D945" t="str">
            <v>Monitor</v>
          </cell>
          <cell r="E945">
            <v>3</v>
          </cell>
          <cell r="F945">
            <v>193.49</v>
          </cell>
          <cell r="K945">
            <v>6</v>
          </cell>
          <cell r="N945">
            <v>580.47</v>
          </cell>
        </row>
        <row r="946">
          <cell r="D946" t="str">
            <v>Laptop</v>
          </cell>
          <cell r="E946">
            <v>2</v>
          </cell>
          <cell r="F946">
            <v>426.22</v>
          </cell>
          <cell r="K946">
            <v>7</v>
          </cell>
          <cell r="N946">
            <v>852.44</v>
          </cell>
        </row>
        <row r="947">
          <cell r="D947" t="str">
            <v>Tablet</v>
          </cell>
          <cell r="E947">
            <v>5</v>
          </cell>
          <cell r="F947">
            <v>276.44</v>
          </cell>
          <cell r="K947">
            <v>10</v>
          </cell>
          <cell r="N947">
            <v>1382.2</v>
          </cell>
        </row>
        <row r="948">
          <cell r="D948" t="str">
            <v>Phone</v>
          </cell>
          <cell r="E948">
            <v>2</v>
          </cell>
          <cell r="F948">
            <v>404.96</v>
          </cell>
          <cell r="K948">
            <v>4</v>
          </cell>
          <cell r="N948">
            <v>809.92</v>
          </cell>
        </row>
        <row r="949">
          <cell r="D949" t="str">
            <v>Phone</v>
          </cell>
          <cell r="E949">
            <v>4</v>
          </cell>
          <cell r="F949">
            <v>465.66</v>
          </cell>
          <cell r="K949">
            <v>9</v>
          </cell>
          <cell r="N949">
            <v>1862.64</v>
          </cell>
        </row>
        <row r="950">
          <cell r="D950" t="str">
            <v>Phone</v>
          </cell>
          <cell r="E950">
            <v>2</v>
          </cell>
          <cell r="F950">
            <v>594.07000000000005</v>
          </cell>
          <cell r="K950">
            <v>2</v>
          </cell>
          <cell r="N950">
            <v>1188.1400000000001</v>
          </cell>
        </row>
        <row r="951">
          <cell r="D951" t="str">
            <v>Desk</v>
          </cell>
          <cell r="E951">
            <v>5</v>
          </cell>
          <cell r="F951">
            <v>110.38</v>
          </cell>
          <cell r="K951">
            <v>10</v>
          </cell>
          <cell r="N951">
            <v>551.9</v>
          </cell>
        </row>
        <row r="952">
          <cell r="D952" t="str">
            <v>Laptop</v>
          </cell>
          <cell r="E952">
            <v>1</v>
          </cell>
          <cell r="F952">
            <v>596.24</v>
          </cell>
          <cell r="K952">
            <v>4</v>
          </cell>
          <cell r="N952">
            <v>596.24</v>
          </cell>
        </row>
        <row r="953">
          <cell r="D953" t="str">
            <v>Printer</v>
          </cell>
          <cell r="E953">
            <v>2</v>
          </cell>
          <cell r="F953">
            <v>306.24</v>
          </cell>
          <cell r="K953">
            <v>4</v>
          </cell>
          <cell r="N953">
            <v>612.48</v>
          </cell>
        </row>
        <row r="954">
          <cell r="D954" t="str">
            <v>Monitor</v>
          </cell>
          <cell r="E954">
            <v>3</v>
          </cell>
          <cell r="F954">
            <v>503.39</v>
          </cell>
          <cell r="K954">
            <v>5</v>
          </cell>
          <cell r="N954">
            <v>1510.17</v>
          </cell>
        </row>
        <row r="955">
          <cell r="D955" t="str">
            <v>Phone</v>
          </cell>
          <cell r="E955">
            <v>1</v>
          </cell>
          <cell r="F955">
            <v>131.61000000000001</v>
          </cell>
          <cell r="K955">
            <v>2</v>
          </cell>
          <cell r="N955">
            <v>131.61000000000001</v>
          </cell>
        </row>
        <row r="956">
          <cell r="D956" t="str">
            <v>Chair</v>
          </cell>
          <cell r="E956">
            <v>3</v>
          </cell>
          <cell r="F956">
            <v>443.44</v>
          </cell>
          <cell r="K956">
            <v>3</v>
          </cell>
          <cell r="N956">
            <v>1330.32</v>
          </cell>
        </row>
        <row r="957">
          <cell r="D957" t="str">
            <v>Chair</v>
          </cell>
          <cell r="E957">
            <v>1</v>
          </cell>
          <cell r="F957">
            <v>408.13</v>
          </cell>
          <cell r="K957">
            <v>3</v>
          </cell>
          <cell r="N957">
            <v>408.13</v>
          </cell>
        </row>
        <row r="958">
          <cell r="D958" t="str">
            <v>Phone</v>
          </cell>
          <cell r="E958">
            <v>2</v>
          </cell>
          <cell r="F958">
            <v>160.97999999999999</v>
          </cell>
          <cell r="K958">
            <v>3</v>
          </cell>
          <cell r="N958">
            <v>321.95999999999998</v>
          </cell>
        </row>
        <row r="959">
          <cell r="D959" t="str">
            <v>Monitor</v>
          </cell>
          <cell r="E959">
            <v>5</v>
          </cell>
          <cell r="F959">
            <v>643.89</v>
          </cell>
          <cell r="K959">
            <v>8</v>
          </cell>
          <cell r="N959">
            <v>3219.45</v>
          </cell>
        </row>
        <row r="960">
          <cell r="D960" t="str">
            <v>Desk</v>
          </cell>
          <cell r="E960">
            <v>3</v>
          </cell>
          <cell r="F960">
            <v>158.66</v>
          </cell>
          <cell r="K960">
            <v>7</v>
          </cell>
          <cell r="N960">
            <v>475.98</v>
          </cell>
        </row>
        <row r="961">
          <cell r="D961" t="str">
            <v>Tablet</v>
          </cell>
          <cell r="E961">
            <v>2</v>
          </cell>
          <cell r="F961">
            <v>143.82</v>
          </cell>
          <cell r="K961">
            <v>6</v>
          </cell>
          <cell r="N961">
            <v>287.64</v>
          </cell>
        </row>
        <row r="962">
          <cell r="D962" t="str">
            <v>Laptop</v>
          </cell>
          <cell r="E962">
            <v>3</v>
          </cell>
          <cell r="F962">
            <v>379.07</v>
          </cell>
          <cell r="K962">
            <v>3</v>
          </cell>
          <cell r="N962">
            <v>1137.21</v>
          </cell>
        </row>
        <row r="963">
          <cell r="D963" t="str">
            <v>Phone</v>
          </cell>
          <cell r="E963">
            <v>1</v>
          </cell>
          <cell r="F963">
            <v>601.36</v>
          </cell>
          <cell r="K963">
            <v>1</v>
          </cell>
          <cell r="N963">
            <v>601.36</v>
          </cell>
        </row>
        <row r="964">
          <cell r="D964" t="str">
            <v>Phone</v>
          </cell>
          <cell r="E964">
            <v>2</v>
          </cell>
          <cell r="F964">
            <v>142.08000000000001</v>
          </cell>
          <cell r="K964">
            <v>4</v>
          </cell>
          <cell r="N964">
            <v>284.16000000000003</v>
          </cell>
        </row>
        <row r="965">
          <cell r="D965" t="str">
            <v>Chair</v>
          </cell>
          <cell r="E965">
            <v>5</v>
          </cell>
          <cell r="F965">
            <v>530.34</v>
          </cell>
          <cell r="K965">
            <v>9</v>
          </cell>
          <cell r="N965">
            <v>2651.7</v>
          </cell>
        </row>
        <row r="966">
          <cell r="D966" t="str">
            <v>Phone</v>
          </cell>
          <cell r="E966">
            <v>5</v>
          </cell>
          <cell r="F966">
            <v>364.42</v>
          </cell>
          <cell r="K966">
            <v>10</v>
          </cell>
          <cell r="N966">
            <v>1822.1</v>
          </cell>
        </row>
        <row r="967">
          <cell r="D967" t="str">
            <v>Laptop</v>
          </cell>
          <cell r="E967">
            <v>4</v>
          </cell>
          <cell r="F967">
            <v>578.28</v>
          </cell>
          <cell r="K967">
            <v>5</v>
          </cell>
          <cell r="N967">
            <v>2313.12</v>
          </cell>
        </row>
        <row r="968">
          <cell r="D968" t="str">
            <v>Monitor</v>
          </cell>
          <cell r="E968">
            <v>5</v>
          </cell>
          <cell r="F968">
            <v>280.52</v>
          </cell>
          <cell r="K968">
            <v>7</v>
          </cell>
          <cell r="N968">
            <v>1402.6</v>
          </cell>
        </row>
        <row r="969">
          <cell r="D969" t="str">
            <v>Tablet</v>
          </cell>
          <cell r="E969">
            <v>5</v>
          </cell>
          <cell r="F969">
            <v>638.91999999999996</v>
          </cell>
          <cell r="K969">
            <v>5</v>
          </cell>
          <cell r="N969">
            <v>3194.6</v>
          </cell>
        </row>
        <row r="970">
          <cell r="D970" t="str">
            <v>Monitor</v>
          </cell>
          <cell r="E970">
            <v>4</v>
          </cell>
          <cell r="F970">
            <v>412.2</v>
          </cell>
          <cell r="K970">
            <v>6</v>
          </cell>
          <cell r="N970">
            <v>1648.8</v>
          </cell>
        </row>
        <row r="971">
          <cell r="D971" t="str">
            <v>Desk</v>
          </cell>
          <cell r="E971">
            <v>1</v>
          </cell>
          <cell r="F971">
            <v>440.34</v>
          </cell>
          <cell r="K971">
            <v>2</v>
          </cell>
          <cell r="N971">
            <v>440.34</v>
          </cell>
        </row>
        <row r="972">
          <cell r="D972" t="str">
            <v>Desk</v>
          </cell>
          <cell r="E972">
            <v>1</v>
          </cell>
          <cell r="F972">
            <v>627.15</v>
          </cell>
          <cell r="K972">
            <v>5</v>
          </cell>
          <cell r="N972">
            <v>627.15</v>
          </cell>
        </row>
        <row r="973">
          <cell r="D973" t="str">
            <v>Monitor</v>
          </cell>
          <cell r="E973">
            <v>2</v>
          </cell>
          <cell r="F973">
            <v>605.26</v>
          </cell>
          <cell r="K973">
            <v>4</v>
          </cell>
          <cell r="N973">
            <v>1210.52</v>
          </cell>
        </row>
        <row r="974">
          <cell r="D974" t="str">
            <v>Laptop</v>
          </cell>
          <cell r="E974">
            <v>1</v>
          </cell>
          <cell r="F974">
            <v>90.27</v>
          </cell>
          <cell r="K974">
            <v>5</v>
          </cell>
          <cell r="N974">
            <v>90.27</v>
          </cell>
        </row>
        <row r="975">
          <cell r="D975" t="str">
            <v>Desk</v>
          </cell>
          <cell r="E975">
            <v>5</v>
          </cell>
          <cell r="F975">
            <v>230.77</v>
          </cell>
          <cell r="K975">
            <v>10</v>
          </cell>
          <cell r="N975">
            <v>1153.8499999999999</v>
          </cell>
        </row>
        <row r="976">
          <cell r="D976" t="str">
            <v>Desk</v>
          </cell>
          <cell r="E976">
            <v>5</v>
          </cell>
          <cell r="F976">
            <v>266.77999999999997</v>
          </cell>
          <cell r="K976">
            <v>5</v>
          </cell>
          <cell r="N976">
            <v>1333.9</v>
          </cell>
        </row>
        <row r="977">
          <cell r="D977" t="str">
            <v>Desk</v>
          </cell>
          <cell r="E977">
            <v>1</v>
          </cell>
          <cell r="F977">
            <v>105.92</v>
          </cell>
          <cell r="K977">
            <v>6</v>
          </cell>
          <cell r="N977">
            <v>105.92</v>
          </cell>
        </row>
        <row r="978">
          <cell r="D978" t="str">
            <v>Tablet</v>
          </cell>
          <cell r="E978">
            <v>3</v>
          </cell>
          <cell r="F978">
            <v>589.29999999999995</v>
          </cell>
          <cell r="K978">
            <v>6</v>
          </cell>
          <cell r="N978">
            <v>1767.9</v>
          </cell>
        </row>
        <row r="979">
          <cell r="D979" t="str">
            <v>Chair</v>
          </cell>
          <cell r="E979">
            <v>4</v>
          </cell>
          <cell r="F979">
            <v>649.47</v>
          </cell>
          <cell r="K979">
            <v>8</v>
          </cell>
          <cell r="N979">
            <v>2597.88</v>
          </cell>
        </row>
        <row r="980">
          <cell r="D980" t="str">
            <v>Printer</v>
          </cell>
          <cell r="E980">
            <v>4</v>
          </cell>
          <cell r="F980">
            <v>107.49</v>
          </cell>
          <cell r="K980">
            <v>5</v>
          </cell>
          <cell r="N980">
            <v>429.96</v>
          </cell>
        </row>
        <row r="981">
          <cell r="D981" t="str">
            <v>Monitor</v>
          </cell>
          <cell r="E981">
            <v>3</v>
          </cell>
          <cell r="F981">
            <v>669.06</v>
          </cell>
          <cell r="K981">
            <v>7</v>
          </cell>
          <cell r="N981">
            <v>2007.18</v>
          </cell>
        </row>
        <row r="982">
          <cell r="D982" t="str">
            <v>Chair</v>
          </cell>
          <cell r="E982">
            <v>3</v>
          </cell>
          <cell r="F982">
            <v>69.650000000000006</v>
          </cell>
          <cell r="K982">
            <v>7</v>
          </cell>
          <cell r="N982">
            <v>208.95</v>
          </cell>
        </row>
        <row r="983">
          <cell r="D983" t="str">
            <v>Phone</v>
          </cell>
          <cell r="E983">
            <v>4</v>
          </cell>
          <cell r="F983">
            <v>136.83000000000001</v>
          </cell>
          <cell r="K983">
            <v>8</v>
          </cell>
          <cell r="N983">
            <v>547.32000000000005</v>
          </cell>
        </row>
        <row r="984">
          <cell r="D984" t="str">
            <v>Monitor</v>
          </cell>
          <cell r="E984">
            <v>1</v>
          </cell>
          <cell r="F984">
            <v>304.11</v>
          </cell>
          <cell r="K984">
            <v>2</v>
          </cell>
          <cell r="N984">
            <v>304.11</v>
          </cell>
        </row>
        <row r="985">
          <cell r="D985" t="str">
            <v>Monitor</v>
          </cell>
          <cell r="E985">
            <v>4</v>
          </cell>
          <cell r="F985">
            <v>296.27999999999997</v>
          </cell>
          <cell r="K985">
            <v>5</v>
          </cell>
          <cell r="N985">
            <v>1185.1199999999999</v>
          </cell>
        </row>
        <row r="986">
          <cell r="D986" t="str">
            <v>Desk</v>
          </cell>
          <cell r="E986">
            <v>1</v>
          </cell>
          <cell r="F986">
            <v>77.64</v>
          </cell>
          <cell r="K986">
            <v>1</v>
          </cell>
          <cell r="N986">
            <v>77.64</v>
          </cell>
        </row>
        <row r="987">
          <cell r="D987" t="str">
            <v>Desk</v>
          </cell>
          <cell r="E987">
            <v>1</v>
          </cell>
          <cell r="F987">
            <v>243.71</v>
          </cell>
          <cell r="K987">
            <v>6</v>
          </cell>
          <cell r="N987">
            <v>243.71</v>
          </cell>
        </row>
        <row r="988">
          <cell r="D988" t="str">
            <v>Laptop</v>
          </cell>
          <cell r="E988">
            <v>4</v>
          </cell>
          <cell r="F988">
            <v>644.96</v>
          </cell>
          <cell r="K988">
            <v>7</v>
          </cell>
          <cell r="N988">
            <v>2579.84</v>
          </cell>
        </row>
        <row r="989">
          <cell r="D989" t="str">
            <v>Phone</v>
          </cell>
          <cell r="E989">
            <v>5</v>
          </cell>
          <cell r="F989">
            <v>283.73</v>
          </cell>
          <cell r="K989">
            <v>8</v>
          </cell>
          <cell r="N989">
            <v>1418.65</v>
          </cell>
        </row>
        <row r="990">
          <cell r="D990" t="str">
            <v>Desk</v>
          </cell>
          <cell r="E990">
            <v>2</v>
          </cell>
          <cell r="F990">
            <v>629.55999999999995</v>
          </cell>
          <cell r="K990">
            <v>5</v>
          </cell>
          <cell r="N990">
            <v>1259.1199999999999</v>
          </cell>
        </row>
        <row r="991">
          <cell r="D991" t="str">
            <v>Laptop</v>
          </cell>
          <cell r="E991">
            <v>4</v>
          </cell>
          <cell r="F991">
            <v>246.11</v>
          </cell>
          <cell r="K991">
            <v>4</v>
          </cell>
          <cell r="N991">
            <v>984.44</v>
          </cell>
        </row>
        <row r="992">
          <cell r="D992" t="str">
            <v>Phone</v>
          </cell>
          <cell r="E992">
            <v>2</v>
          </cell>
          <cell r="F992">
            <v>418.26</v>
          </cell>
          <cell r="K992">
            <v>2</v>
          </cell>
          <cell r="N992">
            <v>836.52</v>
          </cell>
        </row>
        <row r="993">
          <cell r="D993" t="str">
            <v>Desk</v>
          </cell>
          <cell r="E993">
            <v>5</v>
          </cell>
          <cell r="F993">
            <v>127.18</v>
          </cell>
          <cell r="K993">
            <v>10</v>
          </cell>
          <cell r="N993">
            <v>635.9</v>
          </cell>
        </row>
        <row r="994">
          <cell r="D994" t="str">
            <v>Printer</v>
          </cell>
          <cell r="E994">
            <v>3</v>
          </cell>
          <cell r="F994">
            <v>586.21</v>
          </cell>
          <cell r="K994">
            <v>4</v>
          </cell>
          <cell r="N994">
            <v>1758.63</v>
          </cell>
        </row>
        <row r="995">
          <cell r="D995" t="str">
            <v>Monitor</v>
          </cell>
          <cell r="E995">
            <v>3</v>
          </cell>
          <cell r="F995">
            <v>267.45</v>
          </cell>
          <cell r="K995">
            <v>5</v>
          </cell>
          <cell r="N995">
            <v>802.35</v>
          </cell>
        </row>
        <row r="996">
          <cell r="D996" t="str">
            <v>Tablet</v>
          </cell>
          <cell r="E996">
            <v>4</v>
          </cell>
          <cell r="F996">
            <v>615.65</v>
          </cell>
          <cell r="K996">
            <v>9</v>
          </cell>
          <cell r="N996">
            <v>2462.6</v>
          </cell>
        </row>
        <row r="997">
          <cell r="D997" t="str">
            <v>Monitor</v>
          </cell>
          <cell r="E997">
            <v>2</v>
          </cell>
          <cell r="F997">
            <v>113.29</v>
          </cell>
          <cell r="K997">
            <v>5</v>
          </cell>
          <cell r="N997">
            <v>226.58</v>
          </cell>
        </row>
        <row r="998">
          <cell r="D998" t="str">
            <v>Monitor</v>
          </cell>
          <cell r="E998">
            <v>4</v>
          </cell>
          <cell r="F998">
            <v>473.86</v>
          </cell>
          <cell r="K998">
            <v>7</v>
          </cell>
          <cell r="N998">
            <v>1895.44</v>
          </cell>
        </row>
        <row r="999">
          <cell r="D999" t="str">
            <v>Laptop</v>
          </cell>
          <cell r="E999">
            <v>3</v>
          </cell>
          <cell r="F999">
            <v>444.75</v>
          </cell>
          <cell r="K999">
            <v>6</v>
          </cell>
          <cell r="N999">
            <v>1334.25</v>
          </cell>
        </row>
        <row r="1000">
          <cell r="D1000" t="str">
            <v>Phone</v>
          </cell>
          <cell r="E1000">
            <v>2</v>
          </cell>
          <cell r="F1000">
            <v>183.67</v>
          </cell>
          <cell r="K1000">
            <v>6</v>
          </cell>
          <cell r="N1000">
            <v>367.34</v>
          </cell>
        </row>
        <row r="1001">
          <cell r="D1001" t="str">
            <v>Printer</v>
          </cell>
          <cell r="E1001">
            <v>1</v>
          </cell>
          <cell r="F1001">
            <v>483.38</v>
          </cell>
          <cell r="K1001">
            <v>6</v>
          </cell>
          <cell r="N1001">
            <v>483.38</v>
          </cell>
        </row>
        <row r="1002">
          <cell r="D1002" t="str">
            <v>Printer</v>
          </cell>
          <cell r="E1002">
            <v>5</v>
          </cell>
          <cell r="F1002">
            <v>260.93</v>
          </cell>
          <cell r="K1002">
            <v>9</v>
          </cell>
          <cell r="N1002">
            <v>1304.6500000000001</v>
          </cell>
        </row>
        <row r="1003">
          <cell r="D1003" t="str">
            <v>Printer</v>
          </cell>
          <cell r="E1003">
            <v>2</v>
          </cell>
          <cell r="F1003">
            <v>253.68</v>
          </cell>
          <cell r="K1003">
            <v>6</v>
          </cell>
          <cell r="N1003">
            <v>507.36</v>
          </cell>
        </row>
        <row r="1004">
          <cell r="D1004" t="str">
            <v>Tablet</v>
          </cell>
          <cell r="E1004">
            <v>4</v>
          </cell>
          <cell r="F1004">
            <v>699.88</v>
          </cell>
          <cell r="K1004">
            <v>5</v>
          </cell>
          <cell r="N1004">
            <v>2799.52</v>
          </cell>
        </row>
        <row r="1005">
          <cell r="D1005" t="str">
            <v>Printer</v>
          </cell>
          <cell r="E1005">
            <v>5</v>
          </cell>
          <cell r="F1005">
            <v>319.97000000000003</v>
          </cell>
          <cell r="K1005">
            <v>7</v>
          </cell>
          <cell r="N1005">
            <v>1599.85</v>
          </cell>
        </row>
        <row r="1006">
          <cell r="D1006" t="str">
            <v>Chair</v>
          </cell>
          <cell r="E1006">
            <v>4</v>
          </cell>
          <cell r="F1006">
            <v>246.91</v>
          </cell>
          <cell r="K1006">
            <v>8</v>
          </cell>
          <cell r="N1006">
            <v>987.64</v>
          </cell>
        </row>
        <row r="1007">
          <cell r="D1007" t="str">
            <v>Printer</v>
          </cell>
          <cell r="E1007">
            <v>3</v>
          </cell>
          <cell r="F1007">
            <v>392.85</v>
          </cell>
          <cell r="K1007">
            <v>6</v>
          </cell>
          <cell r="N1007">
            <v>1178.55</v>
          </cell>
        </row>
        <row r="1008">
          <cell r="D1008" t="str">
            <v>Tablet</v>
          </cell>
          <cell r="E1008">
            <v>5</v>
          </cell>
          <cell r="F1008">
            <v>420.98</v>
          </cell>
          <cell r="K1008">
            <v>7</v>
          </cell>
          <cell r="N1008">
            <v>2104.9</v>
          </cell>
        </row>
        <row r="1009">
          <cell r="D1009" t="str">
            <v>Monitor</v>
          </cell>
          <cell r="E1009">
            <v>2</v>
          </cell>
          <cell r="F1009">
            <v>73.260000000000005</v>
          </cell>
          <cell r="K1009">
            <v>4</v>
          </cell>
          <cell r="N1009">
            <v>146.52000000000001</v>
          </cell>
        </row>
        <row r="1010">
          <cell r="D1010" t="str">
            <v>Monitor</v>
          </cell>
          <cell r="E1010">
            <v>3</v>
          </cell>
          <cell r="F1010">
            <v>410.88</v>
          </cell>
          <cell r="K1010">
            <v>8</v>
          </cell>
          <cell r="N1010">
            <v>1232.6400000000001</v>
          </cell>
        </row>
        <row r="1011">
          <cell r="D1011" t="str">
            <v>Tablet</v>
          </cell>
          <cell r="E1011">
            <v>2</v>
          </cell>
          <cell r="F1011">
            <v>176.46</v>
          </cell>
          <cell r="K1011">
            <v>2</v>
          </cell>
          <cell r="N1011">
            <v>352.92</v>
          </cell>
        </row>
        <row r="1012">
          <cell r="D1012" t="str">
            <v>Monitor</v>
          </cell>
          <cell r="E1012">
            <v>3</v>
          </cell>
          <cell r="F1012">
            <v>659.57</v>
          </cell>
          <cell r="K1012">
            <v>6</v>
          </cell>
          <cell r="N1012">
            <v>1978.71</v>
          </cell>
        </row>
        <row r="1013">
          <cell r="D1013" t="str">
            <v>Phone</v>
          </cell>
          <cell r="E1013">
            <v>2</v>
          </cell>
          <cell r="F1013">
            <v>478.36</v>
          </cell>
          <cell r="K1013">
            <v>3</v>
          </cell>
          <cell r="N1013">
            <v>956.72</v>
          </cell>
        </row>
        <row r="1014">
          <cell r="D1014" t="str">
            <v>Printer</v>
          </cell>
          <cell r="E1014">
            <v>4</v>
          </cell>
          <cell r="F1014">
            <v>30.05</v>
          </cell>
          <cell r="K1014">
            <v>6</v>
          </cell>
          <cell r="N1014">
            <v>120.2</v>
          </cell>
        </row>
        <row r="1015">
          <cell r="D1015" t="str">
            <v>Laptop</v>
          </cell>
          <cell r="E1015">
            <v>4</v>
          </cell>
          <cell r="F1015">
            <v>300.56</v>
          </cell>
          <cell r="K1015">
            <v>9</v>
          </cell>
          <cell r="N1015">
            <v>1202.24</v>
          </cell>
        </row>
        <row r="1016">
          <cell r="D1016" t="str">
            <v>Tablet</v>
          </cell>
          <cell r="E1016">
            <v>5</v>
          </cell>
          <cell r="F1016">
            <v>226.45</v>
          </cell>
          <cell r="K1016">
            <v>6</v>
          </cell>
          <cell r="N1016">
            <v>1132.25</v>
          </cell>
        </row>
        <row r="1017">
          <cell r="D1017" t="str">
            <v>Printer</v>
          </cell>
          <cell r="E1017">
            <v>2</v>
          </cell>
          <cell r="F1017">
            <v>349.4</v>
          </cell>
          <cell r="K1017">
            <v>2</v>
          </cell>
          <cell r="N1017">
            <v>698.8</v>
          </cell>
        </row>
        <row r="1018">
          <cell r="D1018" t="str">
            <v>Tablet</v>
          </cell>
          <cell r="E1018">
            <v>5</v>
          </cell>
          <cell r="F1018">
            <v>268.77999999999997</v>
          </cell>
          <cell r="K1018">
            <v>7</v>
          </cell>
          <cell r="N1018">
            <v>1343.9</v>
          </cell>
        </row>
        <row r="1019">
          <cell r="D1019" t="str">
            <v>Chair</v>
          </cell>
          <cell r="E1019">
            <v>2</v>
          </cell>
          <cell r="F1019">
            <v>680.85</v>
          </cell>
          <cell r="K1019">
            <v>6</v>
          </cell>
          <cell r="N1019">
            <v>1361.7</v>
          </cell>
        </row>
        <row r="1020">
          <cell r="D1020" t="str">
            <v>Laptop</v>
          </cell>
          <cell r="E1020">
            <v>3</v>
          </cell>
          <cell r="F1020">
            <v>182.48</v>
          </cell>
          <cell r="K1020">
            <v>3</v>
          </cell>
          <cell r="N1020">
            <v>547.44000000000005</v>
          </cell>
        </row>
        <row r="1021">
          <cell r="D1021" t="str">
            <v>Desk</v>
          </cell>
          <cell r="E1021">
            <v>1</v>
          </cell>
          <cell r="F1021">
            <v>277.08999999999997</v>
          </cell>
          <cell r="K1021">
            <v>2</v>
          </cell>
          <cell r="N1021">
            <v>277.08999999999997</v>
          </cell>
        </row>
        <row r="1022">
          <cell r="D1022" t="str">
            <v>Tablet</v>
          </cell>
          <cell r="E1022">
            <v>2</v>
          </cell>
          <cell r="F1022">
            <v>26.5</v>
          </cell>
          <cell r="K1022">
            <v>3</v>
          </cell>
          <cell r="N1022">
            <v>53</v>
          </cell>
        </row>
        <row r="1023">
          <cell r="D1023" t="str">
            <v>Phone</v>
          </cell>
          <cell r="E1023">
            <v>3</v>
          </cell>
          <cell r="F1023">
            <v>315.27</v>
          </cell>
          <cell r="K1023">
            <v>4</v>
          </cell>
          <cell r="N1023">
            <v>945.81</v>
          </cell>
        </row>
        <row r="1024">
          <cell r="D1024" t="str">
            <v>Tablet</v>
          </cell>
          <cell r="E1024">
            <v>3</v>
          </cell>
          <cell r="F1024">
            <v>450.98</v>
          </cell>
          <cell r="K1024">
            <v>8</v>
          </cell>
          <cell r="N1024">
            <v>1352.94</v>
          </cell>
        </row>
        <row r="1025">
          <cell r="D1025" t="str">
            <v>Laptop</v>
          </cell>
          <cell r="E1025">
            <v>5</v>
          </cell>
          <cell r="F1025">
            <v>233.67</v>
          </cell>
          <cell r="K1025">
            <v>10</v>
          </cell>
          <cell r="N1025">
            <v>1168.3499999999999</v>
          </cell>
        </row>
        <row r="1026">
          <cell r="D1026" t="str">
            <v>Chair</v>
          </cell>
          <cell r="E1026">
            <v>3</v>
          </cell>
          <cell r="F1026">
            <v>367.75</v>
          </cell>
          <cell r="K1026">
            <v>7</v>
          </cell>
          <cell r="N1026">
            <v>1103.25</v>
          </cell>
        </row>
        <row r="1027">
          <cell r="D1027" t="str">
            <v>Chair</v>
          </cell>
          <cell r="E1027">
            <v>1</v>
          </cell>
          <cell r="F1027">
            <v>23.53</v>
          </cell>
          <cell r="K1027">
            <v>2</v>
          </cell>
          <cell r="N1027">
            <v>23.53</v>
          </cell>
        </row>
        <row r="1028">
          <cell r="D1028" t="str">
            <v>Monitor</v>
          </cell>
          <cell r="E1028">
            <v>1</v>
          </cell>
          <cell r="F1028">
            <v>677.48</v>
          </cell>
          <cell r="K1028">
            <v>1</v>
          </cell>
          <cell r="N1028">
            <v>677.48</v>
          </cell>
        </row>
        <row r="1029">
          <cell r="D1029" t="str">
            <v>Laptop</v>
          </cell>
          <cell r="E1029">
            <v>4</v>
          </cell>
          <cell r="F1029">
            <v>554.83000000000004</v>
          </cell>
          <cell r="K1029">
            <v>6</v>
          </cell>
          <cell r="N1029">
            <v>2219.3200000000002</v>
          </cell>
        </row>
        <row r="1030">
          <cell r="D1030" t="str">
            <v>Desk</v>
          </cell>
          <cell r="E1030">
            <v>4</v>
          </cell>
          <cell r="F1030">
            <v>440.31</v>
          </cell>
          <cell r="K1030">
            <v>6</v>
          </cell>
          <cell r="N1030">
            <v>1761.24</v>
          </cell>
        </row>
        <row r="1031">
          <cell r="D1031" t="str">
            <v>Desk</v>
          </cell>
          <cell r="E1031">
            <v>1</v>
          </cell>
          <cell r="F1031">
            <v>87.06</v>
          </cell>
          <cell r="K1031">
            <v>4</v>
          </cell>
          <cell r="N1031">
            <v>87.06</v>
          </cell>
        </row>
        <row r="1032">
          <cell r="D1032" t="str">
            <v>Phone</v>
          </cell>
          <cell r="E1032">
            <v>4</v>
          </cell>
          <cell r="F1032">
            <v>245.28</v>
          </cell>
          <cell r="K1032">
            <v>6</v>
          </cell>
          <cell r="N1032">
            <v>981.12</v>
          </cell>
        </row>
        <row r="1033">
          <cell r="D1033" t="str">
            <v>Phone</v>
          </cell>
          <cell r="E1033">
            <v>5</v>
          </cell>
          <cell r="F1033">
            <v>664.51</v>
          </cell>
          <cell r="K1033">
            <v>8</v>
          </cell>
          <cell r="N1033">
            <v>3322.55</v>
          </cell>
        </row>
        <row r="1034">
          <cell r="D1034" t="str">
            <v>Chair</v>
          </cell>
          <cell r="E1034">
            <v>1</v>
          </cell>
          <cell r="F1034">
            <v>618.67999999999995</v>
          </cell>
          <cell r="K1034">
            <v>6</v>
          </cell>
          <cell r="N1034">
            <v>618.67999999999995</v>
          </cell>
        </row>
        <row r="1035">
          <cell r="D1035" t="str">
            <v>Monitor</v>
          </cell>
          <cell r="E1035">
            <v>1</v>
          </cell>
          <cell r="F1035">
            <v>370.85</v>
          </cell>
          <cell r="K1035">
            <v>2</v>
          </cell>
          <cell r="N1035">
            <v>370.85</v>
          </cell>
        </row>
        <row r="1036">
          <cell r="D1036" t="str">
            <v>Printer</v>
          </cell>
          <cell r="E1036">
            <v>4</v>
          </cell>
          <cell r="F1036">
            <v>517.98</v>
          </cell>
          <cell r="K1036">
            <v>8</v>
          </cell>
          <cell r="N1036">
            <v>2071.92</v>
          </cell>
        </row>
        <row r="1037">
          <cell r="D1037" t="str">
            <v>Laptop</v>
          </cell>
          <cell r="E1037">
            <v>4</v>
          </cell>
          <cell r="F1037">
            <v>506.11</v>
          </cell>
          <cell r="K1037">
            <v>5</v>
          </cell>
          <cell r="N1037">
            <v>2024.44</v>
          </cell>
        </row>
        <row r="1038">
          <cell r="D1038" t="str">
            <v>Phone</v>
          </cell>
          <cell r="E1038">
            <v>3</v>
          </cell>
          <cell r="F1038">
            <v>413.83</v>
          </cell>
          <cell r="K1038">
            <v>8</v>
          </cell>
          <cell r="N1038">
            <v>1241.49</v>
          </cell>
        </row>
        <row r="1039">
          <cell r="D1039" t="str">
            <v>Printer</v>
          </cell>
          <cell r="E1039">
            <v>1</v>
          </cell>
          <cell r="F1039">
            <v>249.81</v>
          </cell>
          <cell r="K1039">
            <v>1</v>
          </cell>
          <cell r="N1039">
            <v>249.81</v>
          </cell>
        </row>
        <row r="1040">
          <cell r="D1040" t="str">
            <v>Tablet</v>
          </cell>
          <cell r="E1040">
            <v>3</v>
          </cell>
          <cell r="F1040">
            <v>362.53</v>
          </cell>
          <cell r="K1040">
            <v>5</v>
          </cell>
          <cell r="N1040">
            <v>1087.5899999999999</v>
          </cell>
        </row>
        <row r="1041">
          <cell r="D1041" t="str">
            <v>Desk</v>
          </cell>
          <cell r="E1041">
            <v>2</v>
          </cell>
          <cell r="F1041">
            <v>299.23</v>
          </cell>
          <cell r="K1041">
            <v>2</v>
          </cell>
          <cell r="N1041">
            <v>598.46</v>
          </cell>
        </row>
        <row r="1042">
          <cell r="D1042" t="str">
            <v>Tablet</v>
          </cell>
          <cell r="E1042">
            <v>1</v>
          </cell>
          <cell r="F1042">
            <v>536.07000000000005</v>
          </cell>
          <cell r="K1042">
            <v>5</v>
          </cell>
          <cell r="N1042">
            <v>536.07000000000005</v>
          </cell>
        </row>
        <row r="1043">
          <cell r="D1043" t="str">
            <v>Monitor</v>
          </cell>
          <cell r="E1043">
            <v>4</v>
          </cell>
          <cell r="F1043">
            <v>558.9</v>
          </cell>
          <cell r="K1043">
            <v>9</v>
          </cell>
          <cell r="N1043">
            <v>2235.6</v>
          </cell>
        </row>
        <row r="1044">
          <cell r="D1044" t="str">
            <v>Tablet</v>
          </cell>
          <cell r="E1044">
            <v>2</v>
          </cell>
          <cell r="F1044">
            <v>409.75</v>
          </cell>
          <cell r="K1044">
            <v>2</v>
          </cell>
          <cell r="N1044">
            <v>819.5</v>
          </cell>
        </row>
        <row r="1045">
          <cell r="D1045" t="str">
            <v>Tablet</v>
          </cell>
          <cell r="E1045">
            <v>2</v>
          </cell>
          <cell r="F1045">
            <v>179.96</v>
          </cell>
          <cell r="K1045">
            <v>5</v>
          </cell>
          <cell r="N1045">
            <v>359.92</v>
          </cell>
        </row>
        <row r="1046">
          <cell r="D1046" t="str">
            <v>Printer</v>
          </cell>
          <cell r="E1046">
            <v>1</v>
          </cell>
          <cell r="F1046">
            <v>38.49</v>
          </cell>
          <cell r="K1046">
            <v>4</v>
          </cell>
          <cell r="N1046">
            <v>38.49</v>
          </cell>
        </row>
        <row r="1047">
          <cell r="D1047" t="str">
            <v>Laptop</v>
          </cell>
          <cell r="E1047">
            <v>5</v>
          </cell>
          <cell r="F1047">
            <v>316.39999999999998</v>
          </cell>
          <cell r="K1047">
            <v>7</v>
          </cell>
          <cell r="N1047">
            <v>1582</v>
          </cell>
        </row>
        <row r="1048">
          <cell r="D1048" t="str">
            <v>Tablet</v>
          </cell>
          <cell r="E1048">
            <v>3</v>
          </cell>
          <cell r="F1048">
            <v>547.15</v>
          </cell>
          <cell r="K1048">
            <v>4</v>
          </cell>
          <cell r="N1048">
            <v>1641.45</v>
          </cell>
        </row>
        <row r="1049">
          <cell r="D1049" t="str">
            <v>Chair</v>
          </cell>
          <cell r="E1049">
            <v>4</v>
          </cell>
          <cell r="F1049">
            <v>540.34</v>
          </cell>
          <cell r="K1049">
            <v>6</v>
          </cell>
          <cell r="N1049">
            <v>2161.36</v>
          </cell>
        </row>
        <row r="1050">
          <cell r="D1050" t="str">
            <v>Monitor</v>
          </cell>
          <cell r="E1050">
            <v>4</v>
          </cell>
          <cell r="F1050">
            <v>73.650000000000006</v>
          </cell>
          <cell r="K1050">
            <v>9</v>
          </cell>
          <cell r="N1050">
            <v>294.60000000000002</v>
          </cell>
        </row>
        <row r="1051">
          <cell r="D1051" t="str">
            <v>Desk</v>
          </cell>
          <cell r="E1051">
            <v>5</v>
          </cell>
          <cell r="F1051">
            <v>391.86</v>
          </cell>
          <cell r="K1051">
            <v>6</v>
          </cell>
          <cell r="N1051">
            <v>1959.3</v>
          </cell>
        </row>
        <row r="1052">
          <cell r="D1052" t="str">
            <v>Laptop</v>
          </cell>
          <cell r="E1052">
            <v>5</v>
          </cell>
          <cell r="F1052">
            <v>69.7</v>
          </cell>
          <cell r="K1052">
            <v>9</v>
          </cell>
          <cell r="N1052">
            <v>348.5</v>
          </cell>
        </row>
        <row r="1053">
          <cell r="D1053" t="str">
            <v>Monitor</v>
          </cell>
          <cell r="E1053">
            <v>5</v>
          </cell>
          <cell r="F1053">
            <v>26.43</v>
          </cell>
          <cell r="K1053">
            <v>5</v>
          </cell>
          <cell r="N1053">
            <v>132.15</v>
          </cell>
        </row>
        <row r="1054">
          <cell r="D1054" t="str">
            <v>Tablet</v>
          </cell>
          <cell r="E1054">
            <v>1</v>
          </cell>
          <cell r="F1054">
            <v>531.74</v>
          </cell>
          <cell r="K1054">
            <v>1</v>
          </cell>
          <cell r="N1054">
            <v>531.74</v>
          </cell>
        </row>
        <row r="1055">
          <cell r="D1055" t="str">
            <v>Phone</v>
          </cell>
          <cell r="E1055">
            <v>2</v>
          </cell>
          <cell r="F1055">
            <v>496.62</v>
          </cell>
          <cell r="K1055">
            <v>2</v>
          </cell>
          <cell r="N1055">
            <v>993.24</v>
          </cell>
        </row>
        <row r="1056">
          <cell r="D1056" t="str">
            <v>Printer</v>
          </cell>
          <cell r="E1056">
            <v>1</v>
          </cell>
          <cell r="F1056">
            <v>660.66</v>
          </cell>
          <cell r="K1056">
            <v>3</v>
          </cell>
          <cell r="N1056">
            <v>660.66</v>
          </cell>
        </row>
        <row r="1057">
          <cell r="D1057" t="str">
            <v>Monitor</v>
          </cell>
          <cell r="E1057">
            <v>4</v>
          </cell>
          <cell r="F1057">
            <v>274.82</v>
          </cell>
          <cell r="K1057">
            <v>9</v>
          </cell>
          <cell r="N1057">
            <v>1099.28</v>
          </cell>
        </row>
        <row r="1058">
          <cell r="D1058" t="str">
            <v>Phone</v>
          </cell>
          <cell r="E1058">
            <v>2</v>
          </cell>
          <cell r="F1058">
            <v>486.35</v>
          </cell>
          <cell r="K1058">
            <v>6</v>
          </cell>
          <cell r="N1058">
            <v>972.7</v>
          </cell>
        </row>
        <row r="1059">
          <cell r="D1059" t="str">
            <v>Laptop</v>
          </cell>
          <cell r="E1059">
            <v>3</v>
          </cell>
          <cell r="F1059">
            <v>428.88</v>
          </cell>
          <cell r="K1059">
            <v>3</v>
          </cell>
          <cell r="N1059">
            <v>1286.6400000000001</v>
          </cell>
        </row>
        <row r="1060">
          <cell r="D1060" t="str">
            <v>Desk</v>
          </cell>
          <cell r="E1060">
            <v>2</v>
          </cell>
          <cell r="F1060">
            <v>412.14</v>
          </cell>
          <cell r="K1060">
            <v>2</v>
          </cell>
          <cell r="N1060">
            <v>824.28</v>
          </cell>
        </row>
        <row r="1061">
          <cell r="D1061" t="str">
            <v>Desk</v>
          </cell>
          <cell r="E1061">
            <v>1</v>
          </cell>
          <cell r="F1061">
            <v>265.64</v>
          </cell>
          <cell r="K1061">
            <v>3</v>
          </cell>
          <cell r="N1061">
            <v>265.64</v>
          </cell>
        </row>
        <row r="1062">
          <cell r="D1062" t="str">
            <v>Tablet</v>
          </cell>
          <cell r="E1062">
            <v>2</v>
          </cell>
          <cell r="F1062">
            <v>273.43</v>
          </cell>
          <cell r="K1062">
            <v>7</v>
          </cell>
          <cell r="N1062">
            <v>546.86</v>
          </cell>
        </row>
        <row r="1063">
          <cell r="D1063" t="str">
            <v>Laptop</v>
          </cell>
          <cell r="E1063">
            <v>5</v>
          </cell>
          <cell r="F1063">
            <v>131.69999999999999</v>
          </cell>
          <cell r="K1063">
            <v>8</v>
          </cell>
          <cell r="N1063">
            <v>658.5</v>
          </cell>
        </row>
        <row r="1064">
          <cell r="D1064" t="str">
            <v>Chair</v>
          </cell>
          <cell r="E1064">
            <v>5</v>
          </cell>
          <cell r="F1064">
            <v>85.52</v>
          </cell>
          <cell r="K1064">
            <v>5</v>
          </cell>
          <cell r="N1064">
            <v>427.6</v>
          </cell>
        </row>
        <row r="1065">
          <cell r="D1065" t="str">
            <v>Desk</v>
          </cell>
          <cell r="E1065">
            <v>2</v>
          </cell>
          <cell r="F1065">
            <v>320.68</v>
          </cell>
          <cell r="K1065">
            <v>5</v>
          </cell>
          <cell r="N1065">
            <v>641.36</v>
          </cell>
        </row>
        <row r="1066">
          <cell r="D1066" t="str">
            <v>Laptop</v>
          </cell>
          <cell r="E1066">
            <v>4</v>
          </cell>
          <cell r="F1066">
            <v>198.81</v>
          </cell>
          <cell r="K1066">
            <v>9</v>
          </cell>
          <cell r="N1066">
            <v>795.24</v>
          </cell>
        </row>
        <row r="1067">
          <cell r="D1067" t="str">
            <v>Printer</v>
          </cell>
          <cell r="E1067">
            <v>5</v>
          </cell>
          <cell r="F1067">
            <v>666.8</v>
          </cell>
          <cell r="K1067">
            <v>7</v>
          </cell>
          <cell r="N1067">
            <v>3334</v>
          </cell>
        </row>
        <row r="1068">
          <cell r="D1068" t="str">
            <v>Desk</v>
          </cell>
          <cell r="E1068">
            <v>1</v>
          </cell>
          <cell r="F1068">
            <v>355.09</v>
          </cell>
          <cell r="K1068">
            <v>5</v>
          </cell>
          <cell r="N1068">
            <v>355.09</v>
          </cell>
        </row>
        <row r="1069">
          <cell r="D1069" t="str">
            <v>Phone</v>
          </cell>
          <cell r="E1069">
            <v>2</v>
          </cell>
          <cell r="F1069">
            <v>316.2</v>
          </cell>
          <cell r="K1069">
            <v>2</v>
          </cell>
          <cell r="N1069">
            <v>632.4</v>
          </cell>
        </row>
        <row r="1070">
          <cell r="D1070" t="str">
            <v>Laptop</v>
          </cell>
          <cell r="E1070">
            <v>1</v>
          </cell>
          <cell r="F1070">
            <v>133.38999999999999</v>
          </cell>
          <cell r="K1070">
            <v>2</v>
          </cell>
          <cell r="N1070">
            <v>133.38999999999999</v>
          </cell>
        </row>
        <row r="1071">
          <cell r="D1071" t="str">
            <v>Monitor</v>
          </cell>
          <cell r="E1071">
            <v>1</v>
          </cell>
          <cell r="F1071">
            <v>454.23</v>
          </cell>
          <cell r="K1071">
            <v>3</v>
          </cell>
          <cell r="N1071">
            <v>454.23</v>
          </cell>
        </row>
        <row r="1072">
          <cell r="D1072" t="str">
            <v>Desk</v>
          </cell>
          <cell r="E1072">
            <v>4</v>
          </cell>
          <cell r="F1072">
            <v>491.29</v>
          </cell>
          <cell r="K1072">
            <v>6</v>
          </cell>
          <cell r="N1072">
            <v>1965.16</v>
          </cell>
        </row>
        <row r="1073">
          <cell r="D1073" t="str">
            <v>Phone</v>
          </cell>
          <cell r="E1073">
            <v>2</v>
          </cell>
          <cell r="F1073">
            <v>255.14</v>
          </cell>
          <cell r="K1073">
            <v>2</v>
          </cell>
          <cell r="N1073">
            <v>510.28</v>
          </cell>
        </row>
        <row r="1074">
          <cell r="D1074" t="str">
            <v>Monitor</v>
          </cell>
          <cell r="E1074">
            <v>1</v>
          </cell>
          <cell r="F1074">
            <v>392.61</v>
          </cell>
          <cell r="K1074">
            <v>4</v>
          </cell>
          <cell r="N1074">
            <v>392.61</v>
          </cell>
        </row>
        <row r="1075">
          <cell r="D1075" t="str">
            <v>Tablet</v>
          </cell>
          <cell r="E1075">
            <v>4</v>
          </cell>
          <cell r="F1075">
            <v>362.06</v>
          </cell>
          <cell r="K1075">
            <v>4</v>
          </cell>
          <cell r="N1075">
            <v>1448.24</v>
          </cell>
        </row>
        <row r="1076">
          <cell r="D1076" t="str">
            <v>Phone</v>
          </cell>
          <cell r="E1076">
            <v>1</v>
          </cell>
          <cell r="F1076">
            <v>222.73</v>
          </cell>
          <cell r="K1076">
            <v>4</v>
          </cell>
          <cell r="N1076">
            <v>222.73</v>
          </cell>
        </row>
        <row r="1077">
          <cell r="D1077" t="str">
            <v>Monitor</v>
          </cell>
          <cell r="E1077">
            <v>2</v>
          </cell>
          <cell r="F1077">
            <v>552.63</v>
          </cell>
          <cell r="K1077">
            <v>7</v>
          </cell>
          <cell r="N1077">
            <v>1105.26</v>
          </cell>
        </row>
        <row r="1078">
          <cell r="D1078" t="str">
            <v>Laptop</v>
          </cell>
          <cell r="E1078">
            <v>4</v>
          </cell>
          <cell r="F1078">
            <v>686.61</v>
          </cell>
          <cell r="K1078">
            <v>6</v>
          </cell>
          <cell r="N1078">
            <v>2746.44</v>
          </cell>
        </row>
        <row r="1079">
          <cell r="D1079" t="str">
            <v>Printer</v>
          </cell>
          <cell r="E1079">
            <v>3</v>
          </cell>
          <cell r="F1079">
            <v>305.16000000000003</v>
          </cell>
          <cell r="K1079">
            <v>8</v>
          </cell>
          <cell r="N1079">
            <v>915.48</v>
          </cell>
        </row>
        <row r="1080">
          <cell r="D1080" t="str">
            <v>Desk</v>
          </cell>
          <cell r="E1080">
            <v>1</v>
          </cell>
          <cell r="F1080">
            <v>41.09</v>
          </cell>
          <cell r="K1080">
            <v>4</v>
          </cell>
          <cell r="N1080">
            <v>41.09</v>
          </cell>
        </row>
        <row r="1081">
          <cell r="D1081" t="str">
            <v>Phone</v>
          </cell>
          <cell r="E1081">
            <v>5</v>
          </cell>
          <cell r="F1081">
            <v>634</v>
          </cell>
          <cell r="K1081">
            <v>8</v>
          </cell>
          <cell r="N1081">
            <v>3170</v>
          </cell>
        </row>
        <row r="1082">
          <cell r="D1082" t="str">
            <v>Laptop</v>
          </cell>
          <cell r="E1082">
            <v>5</v>
          </cell>
          <cell r="F1082">
            <v>464.74</v>
          </cell>
          <cell r="K1082">
            <v>7</v>
          </cell>
          <cell r="N1082">
            <v>2323.6999999999998</v>
          </cell>
        </row>
        <row r="1083">
          <cell r="D1083" t="str">
            <v>Monitor</v>
          </cell>
          <cell r="E1083">
            <v>4</v>
          </cell>
          <cell r="F1083">
            <v>425.6</v>
          </cell>
          <cell r="K1083">
            <v>5</v>
          </cell>
          <cell r="N1083">
            <v>1702.4</v>
          </cell>
        </row>
        <row r="1084">
          <cell r="D1084" t="str">
            <v>Chair</v>
          </cell>
          <cell r="E1084">
            <v>3</v>
          </cell>
          <cell r="F1084">
            <v>573.22</v>
          </cell>
          <cell r="K1084">
            <v>5</v>
          </cell>
          <cell r="N1084">
            <v>1719.66</v>
          </cell>
        </row>
        <row r="1085">
          <cell r="D1085" t="str">
            <v>Chair</v>
          </cell>
          <cell r="E1085">
            <v>1</v>
          </cell>
          <cell r="F1085">
            <v>123.28</v>
          </cell>
          <cell r="K1085">
            <v>3</v>
          </cell>
          <cell r="N1085">
            <v>123.28</v>
          </cell>
        </row>
        <row r="1086">
          <cell r="D1086" t="str">
            <v>Phone</v>
          </cell>
          <cell r="E1086">
            <v>1</v>
          </cell>
          <cell r="F1086">
            <v>70.819999999999993</v>
          </cell>
          <cell r="K1086">
            <v>1</v>
          </cell>
          <cell r="N1086">
            <v>70.819999999999993</v>
          </cell>
        </row>
        <row r="1087">
          <cell r="D1087" t="str">
            <v>Printer</v>
          </cell>
          <cell r="E1087">
            <v>2</v>
          </cell>
          <cell r="F1087">
            <v>646.69000000000005</v>
          </cell>
          <cell r="K1087">
            <v>7</v>
          </cell>
          <cell r="N1087">
            <v>1293.3800000000001</v>
          </cell>
        </row>
        <row r="1088">
          <cell r="D1088" t="str">
            <v>Tablet</v>
          </cell>
          <cell r="E1088">
            <v>2</v>
          </cell>
          <cell r="F1088">
            <v>513.41999999999996</v>
          </cell>
          <cell r="K1088">
            <v>5</v>
          </cell>
          <cell r="N1088">
            <v>1026.8399999999999</v>
          </cell>
        </row>
        <row r="1089">
          <cell r="D1089" t="str">
            <v>Laptop</v>
          </cell>
          <cell r="E1089">
            <v>4</v>
          </cell>
          <cell r="F1089">
            <v>693.07</v>
          </cell>
          <cell r="K1089">
            <v>8</v>
          </cell>
          <cell r="N1089">
            <v>2772.28</v>
          </cell>
        </row>
        <row r="1090">
          <cell r="D1090" t="str">
            <v>Desk</v>
          </cell>
          <cell r="E1090">
            <v>3</v>
          </cell>
          <cell r="F1090">
            <v>491.43</v>
          </cell>
          <cell r="K1090">
            <v>6</v>
          </cell>
          <cell r="N1090">
            <v>1474.29</v>
          </cell>
        </row>
        <row r="1091">
          <cell r="D1091" t="str">
            <v>Tablet</v>
          </cell>
          <cell r="E1091">
            <v>2</v>
          </cell>
          <cell r="F1091">
            <v>599.74</v>
          </cell>
          <cell r="K1091">
            <v>2</v>
          </cell>
          <cell r="N1091">
            <v>1199.48</v>
          </cell>
        </row>
        <row r="1092">
          <cell r="D1092" t="str">
            <v>Monitor</v>
          </cell>
          <cell r="E1092">
            <v>2</v>
          </cell>
          <cell r="F1092">
            <v>650.25</v>
          </cell>
          <cell r="K1092">
            <v>6</v>
          </cell>
          <cell r="N1092">
            <v>1300.5</v>
          </cell>
        </row>
        <row r="1093">
          <cell r="D1093" t="str">
            <v>Laptop</v>
          </cell>
          <cell r="E1093">
            <v>3</v>
          </cell>
          <cell r="F1093">
            <v>209.48</v>
          </cell>
          <cell r="K1093">
            <v>4</v>
          </cell>
          <cell r="N1093">
            <v>628.44000000000005</v>
          </cell>
        </row>
        <row r="1094">
          <cell r="D1094" t="str">
            <v>Laptop</v>
          </cell>
          <cell r="E1094">
            <v>5</v>
          </cell>
          <cell r="F1094">
            <v>209.2</v>
          </cell>
          <cell r="K1094">
            <v>6</v>
          </cell>
          <cell r="N1094">
            <v>1046</v>
          </cell>
        </row>
        <row r="1095">
          <cell r="D1095" t="str">
            <v>Phone</v>
          </cell>
          <cell r="E1095">
            <v>4</v>
          </cell>
          <cell r="F1095">
            <v>197.36</v>
          </cell>
          <cell r="K1095">
            <v>9</v>
          </cell>
          <cell r="N1095">
            <v>789.44</v>
          </cell>
        </row>
        <row r="1096">
          <cell r="D1096" t="str">
            <v>Printer</v>
          </cell>
          <cell r="E1096">
            <v>4</v>
          </cell>
          <cell r="F1096">
            <v>648.91</v>
          </cell>
          <cell r="K1096">
            <v>6</v>
          </cell>
          <cell r="N1096">
            <v>2595.64</v>
          </cell>
        </row>
        <row r="1097">
          <cell r="D1097" t="str">
            <v>Phone</v>
          </cell>
          <cell r="E1097">
            <v>2</v>
          </cell>
          <cell r="F1097">
            <v>441.54</v>
          </cell>
          <cell r="K1097">
            <v>2</v>
          </cell>
          <cell r="N1097">
            <v>883.08</v>
          </cell>
        </row>
        <row r="1098">
          <cell r="D1098" t="str">
            <v>Tablet</v>
          </cell>
          <cell r="E1098">
            <v>2</v>
          </cell>
          <cell r="F1098">
            <v>464.92</v>
          </cell>
          <cell r="K1098">
            <v>2</v>
          </cell>
          <cell r="N1098">
            <v>929.84</v>
          </cell>
        </row>
        <row r="1099">
          <cell r="D1099" t="str">
            <v>Monitor</v>
          </cell>
          <cell r="E1099">
            <v>5</v>
          </cell>
          <cell r="F1099">
            <v>506.45</v>
          </cell>
          <cell r="K1099">
            <v>7</v>
          </cell>
          <cell r="N1099">
            <v>2532.25</v>
          </cell>
        </row>
        <row r="1100">
          <cell r="D1100" t="str">
            <v>Monitor</v>
          </cell>
          <cell r="E1100">
            <v>4</v>
          </cell>
          <cell r="F1100">
            <v>255.86</v>
          </cell>
          <cell r="K1100">
            <v>7</v>
          </cell>
          <cell r="N1100">
            <v>1023.44</v>
          </cell>
        </row>
        <row r="1101">
          <cell r="D1101" t="str">
            <v>Laptop</v>
          </cell>
          <cell r="E1101">
            <v>2</v>
          </cell>
          <cell r="F1101">
            <v>125.23</v>
          </cell>
          <cell r="K1101">
            <v>3</v>
          </cell>
          <cell r="N1101">
            <v>250.46</v>
          </cell>
        </row>
        <row r="1102">
          <cell r="D1102" t="str">
            <v>Laptop</v>
          </cell>
          <cell r="E1102">
            <v>5</v>
          </cell>
          <cell r="F1102">
            <v>38.11</v>
          </cell>
          <cell r="K1102">
            <v>6</v>
          </cell>
          <cell r="N1102">
            <v>190.55</v>
          </cell>
        </row>
        <row r="1103">
          <cell r="D1103" t="str">
            <v>Monitor</v>
          </cell>
          <cell r="E1103">
            <v>3</v>
          </cell>
          <cell r="F1103">
            <v>161.97</v>
          </cell>
          <cell r="K1103">
            <v>4</v>
          </cell>
          <cell r="N1103">
            <v>485.91</v>
          </cell>
        </row>
        <row r="1104">
          <cell r="D1104" t="str">
            <v>Chair</v>
          </cell>
          <cell r="E1104">
            <v>4</v>
          </cell>
          <cell r="F1104">
            <v>347.17</v>
          </cell>
          <cell r="K1104">
            <v>8</v>
          </cell>
          <cell r="N1104">
            <v>1388.68</v>
          </cell>
        </row>
        <row r="1105">
          <cell r="D1105" t="str">
            <v>Laptop</v>
          </cell>
          <cell r="E1105">
            <v>4</v>
          </cell>
          <cell r="F1105">
            <v>276.32</v>
          </cell>
          <cell r="K1105">
            <v>5</v>
          </cell>
          <cell r="N1105">
            <v>1105.28</v>
          </cell>
        </row>
        <row r="1106">
          <cell r="D1106" t="str">
            <v>Tablet</v>
          </cell>
          <cell r="E1106">
            <v>4</v>
          </cell>
          <cell r="F1106">
            <v>314.76</v>
          </cell>
          <cell r="K1106">
            <v>8</v>
          </cell>
          <cell r="N1106">
            <v>1259.04</v>
          </cell>
        </row>
        <row r="1107">
          <cell r="D1107" t="str">
            <v>Tablet</v>
          </cell>
          <cell r="E1107">
            <v>3</v>
          </cell>
          <cell r="F1107">
            <v>475.69</v>
          </cell>
          <cell r="K1107">
            <v>3</v>
          </cell>
          <cell r="N1107">
            <v>1427.07</v>
          </cell>
        </row>
        <row r="1108">
          <cell r="D1108" t="str">
            <v>Chair</v>
          </cell>
          <cell r="E1108">
            <v>1</v>
          </cell>
          <cell r="F1108">
            <v>372.8</v>
          </cell>
          <cell r="K1108">
            <v>6</v>
          </cell>
          <cell r="N1108">
            <v>372.8</v>
          </cell>
        </row>
        <row r="1109">
          <cell r="D1109" t="str">
            <v>Tablet</v>
          </cell>
          <cell r="E1109">
            <v>2</v>
          </cell>
          <cell r="F1109">
            <v>63.21</v>
          </cell>
          <cell r="K1109">
            <v>4</v>
          </cell>
          <cell r="N1109">
            <v>126.42</v>
          </cell>
        </row>
        <row r="1110">
          <cell r="D1110" t="str">
            <v>Laptop</v>
          </cell>
          <cell r="E1110">
            <v>1</v>
          </cell>
          <cell r="F1110">
            <v>634.94000000000005</v>
          </cell>
          <cell r="K1110">
            <v>5</v>
          </cell>
          <cell r="N1110">
            <v>634.94000000000005</v>
          </cell>
        </row>
        <row r="1111">
          <cell r="D1111" t="str">
            <v>Printer</v>
          </cell>
          <cell r="E1111">
            <v>4</v>
          </cell>
          <cell r="F1111">
            <v>77.47</v>
          </cell>
          <cell r="K1111">
            <v>7</v>
          </cell>
          <cell r="N1111">
            <v>309.88</v>
          </cell>
        </row>
        <row r="1112">
          <cell r="D1112" t="str">
            <v>Chair</v>
          </cell>
          <cell r="E1112">
            <v>3</v>
          </cell>
          <cell r="F1112">
            <v>84.31</v>
          </cell>
          <cell r="K1112">
            <v>3</v>
          </cell>
          <cell r="N1112">
            <v>252.93</v>
          </cell>
        </row>
        <row r="1113">
          <cell r="D1113" t="str">
            <v>Monitor</v>
          </cell>
          <cell r="E1113">
            <v>4</v>
          </cell>
          <cell r="F1113">
            <v>234.45</v>
          </cell>
          <cell r="K1113">
            <v>9</v>
          </cell>
          <cell r="N1113">
            <v>937.8</v>
          </cell>
        </row>
        <row r="1114">
          <cell r="D1114" t="str">
            <v>Desk</v>
          </cell>
          <cell r="E1114">
            <v>1</v>
          </cell>
          <cell r="F1114">
            <v>356.81</v>
          </cell>
          <cell r="K1114">
            <v>1</v>
          </cell>
          <cell r="N1114">
            <v>356.81</v>
          </cell>
        </row>
        <row r="1115">
          <cell r="D1115" t="str">
            <v>Desk</v>
          </cell>
          <cell r="E1115">
            <v>4</v>
          </cell>
          <cell r="F1115">
            <v>209.99</v>
          </cell>
          <cell r="K1115">
            <v>8</v>
          </cell>
          <cell r="N1115">
            <v>839.96</v>
          </cell>
        </row>
        <row r="1116">
          <cell r="D1116" t="str">
            <v>Tablet</v>
          </cell>
          <cell r="E1116">
            <v>3</v>
          </cell>
          <cell r="F1116">
            <v>659.88</v>
          </cell>
          <cell r="K1116">
            <v>3</v>
          </cell>
          <cell r="N1116">
            <v>1979.64</v>
          </cell>
        </row>
        <row r="1117">
          <cell r="D1117" t="str">
            <v>Laptop</v>
          </cell>
          <cell r="E1117">
            <v>2</v>
          </cell>
          <cell r="F1117">
            <v>336.32</v>
          </cell>
          <cell r="K1117">
            <v>3</v>
          </cell>
          <cell r="N1117">
            <v>672.64</v>
          </cell>
        </row>
        <row r="1118">
          <cell r="D1118" t="str">
            <v>Printer</v>
          </cell>
          <cell r="E1118">
            <v>2</v>
          </cell>
          <cell r="F1118">
            <v>531.49</v>
          </cell>
          <cell r="K1118">
            <v>7</v>
          </cell>
          <cell r="N1118">
            <v>1062.98</v>
          </cell>
        </row>
        <row r="1119">
          <cell r="D1119" t="str">
            <v>Chair</v>
          </cell>
          <cell r="E1119">
            <v>3</v>
          </cell>
          <cell r="F1119">
            <v>588.44000000000005</v>
          </cell>
          <cell r="K1119">
            <v>8</v>
          </cell>
          <cell r="N1119">
            <v>1765.32</v>
          </cell>
        </row>
        <row r="1120">
          <cell r="D1120" t="str">
            <v>Phone</v>
          </cell>
          <cell r="E1120">
            <v>3</v>
          </cell>
          <cell r="F1120">
            <v>251.48</v>
          </cell>
          <cell r="K1120">
            <v>4</v>
          </cell>
          <cell r="N1120">
            <v>754.44</v>
          </cell>
        </row>
        <row r="1121">
          <cell r="D1121" t="str">
            <v>Laptop</v>
          </cell>
          <cell r="E1121">
            <v>1</v>
          </cell>
          <cell r="F1121">
            <v>684.65</v>
          </cell>
          <cell r="K1121">
            <v>1</v>
          </cell>
          <cell r="N1121">
            <v>684.65</v>
          </cell>
        </row>
        <row r="1122">
          <cell r="D1122" t="str">
            <v>Tablet</v>
          </cell>
          <cell r="E1122">
            <v>1</v>
          </cell>
          <cell r="F1122">
            <v>195.86</v>
          </cell>
          <cell r="K1122">
            <v>3</v>
          </cell>
          <cell r="N1122">
            <v>195.86</v>
          </cell>
        </row>
        <row r="1123">
          <cell r="D1123" t="str">
            <v>Phone</v>
          </cell>
          <cell r="E1123">
            <v>3</v>
          </cell>
          <cell r="F1123">
            <v>50.34</v>
          </cell>
          <cell r="K1123">
            <v>3</v>
          </cell>
          <cell r="N1123">
            <v>151.02000000000001</v>
          </cell>
        </row>
        <row r="1124">
          <cell r="D1124" t="str">
            <v>Monitor</v>
          </cell>
          <cell r="E1124">
            <v>5</v>
          </cell>
          <cell r="F1124">
            <v>678.19</v>
          </cell>
          <cell r="K1124">
            <v>8</v>
          </cell>
          <cell r="N1124">
            <v>3390.95</v>
          </cell>
        </row>
        <row r="1125">
          <cell r="D1125" t="str">
            <v>Tablet</v>
          </cell>
          <cell r="E1125">
            <v>3</v>
          </cell>
          <cell r="F1125">
            <v>554.25</v>
          </cell>
          <cell r="K1125">
            <v>6</v>
          </cell>
          <cell r="N1125">
            <v>1662.75</v>
          </cell>
        </row>
        <row r="1126">
          <cell r="D1126" t="str">
            <v>Chair</v>
          </cell>
          <cell r="E1126">
            <v>4</v>
          </cell>
          <cell r="F1126">
            <v>576.87</v>
          </cell>
          <cell r="K1126">
            <v>5</v>
          </cell>
          <cell r="N1126">
            <v>2307.48</v>
          </cell>
        </row>
        <row r="1127">
          <cell r="D1127" t="str">
            <v>Desk</v>
          </cell>
          <cell r="E1127">
            <v>4</v>
          </cell>
          <cell r="F1127">
            <v>408.36</v>
          </cell>
          <cell r="K1127">
            <v>4</v>
          </cell>
          <cell r="N1127">
            <v>1633.44</v>
          </cell>
        </row>
        <row r="1128">
          <cell r="D1128" t="str">
            <v>Phone</v>
          </cell>
          <cell r="E1128">
            <v>5</v>
          </cell>
          <cell r="F1128">
            <v>190.11</v>
          </cell>
          <cell r="K1128">
            <v>7</v>
          </cell>
          <cell r="N1128">
            <v>950.55</v>
          </cell>
        </row>
        <row r="1129">
          <cell r="D1129" t="str">
            <v>Printer</v>
          </cell>
          <cell r="E1129">
            <v>3</v>
          </cell>
          <cell r="F1129">
            <v>602.75</v>
          </cell>
          <cell r="K1129">
            <v>6</v>
          </cell>
          <cell r="N1129">
            <v>1808.25</v>
          </cell>
        </row>
        <row r="1130">
          <cell r="D1130" t="str">
            <v>Monitor</v>
          </cell>
          <cell r="E1130">
            <v>3</v>
          </cell>
          <cell r="F1130">
            <v>646.79</v>
          </cell>
          <cell r="K1130">
            <v>5</v>
          </cell>
          <cell r="N1130">
            <v>1940.37</v>
          </cell>
        </row>
        <row r="1131">
          <cell r="D1131" t="str">
            <v>Chair</v>
          </cell>
          <cell r="E1131">
            <v>4</v>
          </cell>
          <cell r="F1131">
            <v>418.71</v>
          </cell>
          <cell r="K1131">
            <v>8</v>
          </cell>
          <cell r="N1131">
            <v>1674.84</v>
          </cell>
        </row>
        <row r="1132">
          <cell r="D1132" t="str">
            <v>Laptop</v>
          </cell>
          <cell r="E1132">
            <v>2</v>
          </cell>
          <cell r="F1132">
            <v>323.45</v>
          </cell>
          <cell r="K1132">
            <v>5</v>
          </cell>
          <cell r="N1132">
            <v>646.9</v>
          </cell>
        </row>
        <row r="1133">
          <cell r="D1133" t="str">
            <v>Phone</v>
          </cell>
          <cell r="E1133">
            <v>1</v>
          </cell>
          <cell r="F1133">
            <v>694.5</v>
          </cell>
          <cell r="K1133">
            <v>3</v>
          </cell>
          <cell r="N1133">
            <v>694.5</v>
          </cell>
        </row>
        <row r="1134">
          <cell r="D1134" t="str">
            <v>Chair</v>
          </cell>
          <cell r="E1134">
            <v>2</v>
          </cell>
          <cell r="F1134">
            <v>337.32</v>
          </cell>
          <cell r="K1134">
            <v>4</v>
          </cell>
          <cell r="N1134">
            <v>674.64</v>
          </cell>
        </row>
        <row r="1135">
          <cell r="D1135" t="str">
            <v>Printer</v>
          </cell>
          <cell r="E1135">
            <v>2</v>
          </cell>
          <cell r="F1135">
            <v>467.91</v>
          </cell>
          <cell r="K1135">
            <v>5</v>
          </cell>
          <cell r="N1135">
            <v>935.82</v>
          </cell>
        </row>
        <row r="1136">
          <cell r="D1136" t="str">
            <v>Desk</v>
          </cell>
          <cell r="E1136">
            <v>4</v>
          </cell>
          <cell r="F1136">
            <v>38.28</v>
          </cell>
          <cell r="K1136">
            <v>4</v>
          </cell>
          <cell r="N1136">
            <v>153.12</v>
          </cell>
        </row>
        <row r="1137">
          <cell r="D1137" t="str">
            <v>Printer</v>
          </cell>
          <cell r="E1137">
            <v>2</v>
          </cell>
          <cell r="F1137">
            <v>73.41</v>
          </cell>
          <cell r="K1137">
            <v>2</v>
          </cell>
          <cell r="N1137">
            <v>146.82</v>
          </cell>
        </row>
        <row r="1138">
          <cell r="D1138" t="str">
            <v>Tablet</v>
          </cell>
          <cell r="E1138">
            <v>3</v>
          </cell>
          <cell r="F1138">
            <v>668.33</v>
          </cell>
          <cell r="K1138">
            <v>4</v>
          </cell>
          <cell r="N1138">
            <v>2004.99</v>
          </cell>
        </row>
        <row r="1139">
          <cell r="D1139" t="str">
            <v>Printer</v>
          </cell>
          <cell r="E1139">
            <v>4</v>
          </cell>
          <cell r="F1139">
            <v>410.21</v>
          </cell>
          <cell r="K1139">
            <v>5</v>
          </cell>
          <cell r="N1139">
            <v>1640.84</v>
          </cell>
        </row>
        <row r="1140">
          <cell r="D1140" t="str">
            <v>Desk</v>
          </cell>
          <cell r="E1140">
            <v>4</v>
          </cell>
          <cell r="F1140">
            <v>294.41000000000003</v>
          </cell>
          <cell r="K1140">
            <v>4</v>
          </cell>
          <cell r="N1140">
            <v>1177.6400000000001</v>
          </cell>
        </row>
        <row r="1141">
          <cell r="D1141" t="str">
            <v>Chair</v>
          </cell>
          <cell r="E1141">
            <v>3</v>
          </cell>
          <cell r="F1141">
            <v>501.82</v>
          </cell>
          <cell r="K1141">
            <v>4</v>
          </cell>
          <cell r="N1141">
            <v>1505.46</v>
          </cell>
        </row>
        <row r="1142">
          <cell r="D1142" t="str">
            <v>Printer</v>
          </cell>
          <cell r="E1142">
            <v>2</v>
          </cell>
          <cell r="F1142">
            <v>552.83000000000004</v>
          </cell>
          <cell r="K1142">
            <v>3</v>
          </cell>
          <cell r="N1142">
            <v>1105.6600000000001</v>
          </cell>
        </row>
        <row r="1143">
          <cell r="D1143" t="str">
            <v>Chair</v>
          </cell>
          <cell r="E1143">
            <v>3</v>
          </cell>
          <cell r="F1143">
            <v>498.66</v>
          </cell>
          <cell r="K1143">
            <v>6</v>
          </cell>
          <cell r="N1143">
            <v>1495.98</v>
          </cell>
        </row>
        <row r="1144">
          <cell r="D1144" t="str">
            <v>Phone</v>
          </cell>
          <cell r="E1144">
            <v>4</v>
          </cell>
          <cell r="F1144">
            <v>695.1</v>
          </cell>
          <cell r="K1144">
            <v>8</v>
          </cell>
          <cell r="N1144">
            <v>2780.4</v>
          </cell>
        </row>
        <row r="1145">
          <cell r="D1145" t="str">
            <v>Chair</v>
          </cell>
          <cell r="E1145">
            <v>1</v>
          </cell>
          <cell r="F1145">
            <v>381.61</v>
          </cell>
          <cell r="K1145">
            <v>5</v>
          </cell>
          <cell r="N1145">
            <v>381.61</v>
          </cell>
        </row>
        <row r="1146">
          <cell r="D1146" t="str">
            <v>Desk</v>
          </cell>
          <cell r="E1146">
            <v>5</v>
          </cell>
          <cell r="F1146">
            <v>507.94</v>
          </cell>
          <cell r="K1146">
            <v>9</v>
          </cell>
          <cell r="N1146">
            <v>2539.6999999999998</v>
          </cell>
        </row>
        <row r="1147">
          <cell r="D1147" t="str">
            <v>Desk</v>
          </cell>
          <cell r="E1147">
            <v>3</v>
          </cell>
          <cell r="F1147">
            <v>571.53</v>
          </cell>
          <cell r="K1147">
            <v>6</v>
          </cell>
          <cell r="N1147">
            <v>1714.59</v>
          </cell>
        </row>
        <row r="1148">
          <cell r="D1148" t="str">
            <v>Monitor</v>
          </cell>
          <cell r="E1148">
            <v>5</v>
          </cell>
          <cell r="F1148">
            <v>421.44</v>
          </cell>
          <cell r="K1148">
            <v>5</v>
          </cell>
          <cell r="N1148">
            <v>2107.1999999999998</v>
          </cell>
        </row>
        <row r="1149">
          <cell r="D1149" t="str">
            <v>Chair</v>
          </cell>
          <cell r="E1149">
            <v>2</v>
          </cell>
          <cell r="F1149">
            <v>588.29999999999995</v>
          </cell>
          <cell r="K1149">
            <v>2</v>
          </cell>
          <cell r="N1149">
            <v>1176.5999999999999</v>
          </cell>
        </row>
        <row r="1150">
          <cell r="D1150" t="str">
            <v>Phone</v>
          </cell>
          <cell r="E1150">
            <v>1</v>
          </cell>
          <cell r="F1150">
            <v>355.15</v>
          </cell>
          <cell r="K1150">
            <v>2</v>
          </cell>
          <cell r="N1150">
            <v>355.15</v>
          </cell>
        </row>
        <row r="1151">
          <cell r="D1151" t="str">
            <v>Chair</v>
          </cell>
          <cell r="E1151">
            <v>2</v>
          </cell>
          <cell r="F1151">
            <v>695.29</v>
          </cell>
          <cell r="K1151">
            <v>6</v>
          </cell>
          <cell r="N1151">
            <v>1390.58</v>
          </cell>
        </row>
        <row r="1152">
          <cell r="D1152" t="str">
            <v>Desk</v>
          </cell>
          <cell r="E1152">
            <v>4</v>
          </cell>
          <cell r="F1152">
            <v>302.64999999999998</v>
          </cell>
          <cell r="K1152">
            <v>8</v>
          </cell>
          <cell r="N1152">
            <v>1210.5999999999999</v>
          </cell>
        </row>
        <row r="1153">
          <cell r="D1153" t="str">
            <v>Chair</v>
          </cell>
          <cell r="E1153">
            <v>2</v>
          </cell>
          <cell r="F1153">
            <v>608.04</v>
          </cell>
          <cell r="K1153">
            <v>4</v>
          </cell>
          <cell r="N1153">
            <v>1216.08</v>
          </cell>
        </row>
        <row r="1154">
          <cell r="D1154" t="str">
            <v>Tablet</v>
          </cell>
          <cell r="E1154">
            <v>2</v>
          </cell>
          <cell r="F1154">
            <v>344.18</v>
          </cell>
          <cell r="K1154">
            <v>7</v>
          </cell>
          <cell r="N1154">
            <v>688.36</v>
          </cell>
        </row>
        <row r="1155">
          <cell r="D1155" t="str">
            <v>Monitor</v>
          </cell>
          <cell r="E1155">
            <v>4</v>
          </cell>
          <cell r="F1155">
            <v>696.71</v>
          </cell>
          <cell r="K1155">
            <v>4</v>
          </cell>
          <cell r="N1155">
            <v>2786.84</v>
          </cell>
        </row>
        <row r="1156">
          <cell r="D1156" t="str">
            <v>Monitor</v>
          </cell>
          <cell r="E1156">
            <v>3</v>
          </cell>
          <cell r="F1156">
            <v>198.63</v>
          </cell>
          <cell r="K1156">
            <v>8</v>
          </cell>
          <cell r="N1156">
            <v>595.89</v>
          </cell>
        </row>
        <row r="1157">
          <cell r="D1157" t="str">
            <v>Printer</v>
          </cell>
          <cell r="E1157">
            <v>4</v>
          </cell>
          <cell r="F1157">
            <v>534.57000000000005</v>
          </cell>
          <cell r="K1157">
            <v>6</v>
          </cell>
          <cell r="N1157">
            <v>2138.2800000000002</v>
          </cell>
        </row>
        <row r="1158">
          <cell r="D1158" t="str">
            <v>Laptop</v>
          </cell>
          <cell r="E1158">
            <v>4</v>
          </cell>
          <cell r="F1158">
            <v>690.78</v>
          </cell>
          <cell r="K1158">
            <v>9</v>
          </cell>
          <cell r="N1158">
            <v>2763.12</v>
          </cell>
        </row>
        <row r="1159">
          <cell r="D1159" t="str">
            <v>Monitor</v>
          </cell>
          <cell r="E1159">
            <v>3</v>
          </cell>
          <cell r="F1159">
            <v>301.55</v>
          </cell>
          <cell r="K1159">
            <v>5</v>
          </cell>
          <cell r="N1159">
            <v>904.65</v>
          </cell>
        </row>
        <row r="1160">
          <cell r="D1160" t="str">
            <v>Monitor</v>
          </cell>
          <cell r="E1160">
            <v>4</v>
          </cell>
          <cell r="F1160">
            <v>27.42</v>
          </cell>
          <cell r="K1160">
            <v>4</v>
          </cell>
          <cell r="N1160">
            <v>109.68</v>
          </cell>
        </row>
        <row r="1161">
          <cell r="D1161" t="str">
            <v>Desk</v>
          </cell>
          <cell r="E1161">
            <v>4</v>
          </cell>
          <cell r="F1161">
            <v>466.7</v>
          </cell>
          <cell r="K1161">
            <v>8</v>
          </cell>
          <cell r="N1161">
            <v>1866.8</v>
          </cell>
        </row>
        <row r="1162">
          <cell r="D1162" t="str">
            <v>Desk</v>
          </cell>
          <cell r="E1162">
            <v>1</v>
          </cell>
          <cell r="F1162">
            <v>541.64</v>
          </cell>
          <cell r="K1162">
            <v>5</v>
          </cell>
          <cell r="N1162">
            <v>541.64</v>
          </cell>
        </row>
        <row r="1163">
          <cell r="D1163" t="str">
            <v>Phone</v>
          </cell>
          <cell r="E1163">
            <v>1</v>
          </cell>
          <cell r="F1163">
            <v>11.39</v>
          </cell>
          <cell r="K1163">
            <v>6</v>
          </cell>
          <cell r="N1163">
            <v>11.39</v>
          </cell>
        </row>
        <row r="1164">
          <cell r="D1164" t="str">
            <v>Phone</v>
          </cell>
          <cell r="E1164">
            <v>2</v>
          </cell>
          <cell r="F1164">
            <v>224.37</v>
          </cell>
          <cell r="K1164">
            <v>3</v>
          </cell>
          <cell r="N1164">
            <v>448.74</v>
          </cell>
        </row>
        <row r="1165">
          <cell r="D1165" t="str">
            <v>Laptop</v>
          </cell>
          <cell r="E1165">
            <v>3</v>
          </cell>
          <cell r="F1165">
            <v>306.29000000000002</v>
          </cell>
          <cell r="K1165">
            <v>7</v>
          </cell>
          <cell r="N1165">
            <v>918.87</v>
          </cell>
        </row>
        <row r="1166">
          <cell r="D1166" t="str">
            <v>Tablet</v>
          </cell>
          <cell r="E1166">
            <v>5</v>
          </cell>
          <cell r="F1166">
            <v>315.57</v>
          </cell>
          <cell r="K1166">
            <v>6</v>
          </cell>
          <cell r="N1166">
            <v>1577.85</v>
          </cell>
        </row>
        <row r="1167">
          <cell r="D1167" t="str">
            <v>Chair</v>
          </cell>
          <cell r="E1167">
            <v>3</v>
          </cell>
          <cell r="F1167">
            <v>223.79</v>
          </cell>
          <cell r="K1167">
            <v>3</v>
          </cell>
          <cell r="N1167">
            <v>671.37</v>
          </cell>
        </row>
        <row r="1168">
          <cell r="D1168" t="str">
            <v>Chair</v>
          </cell>
          <cell r="E1168">
            <v>3</v>
          </cell>
          <cell r="F1168">
            <v>324.47000000000003</v>
          </cell>
          <cell r="K1168">
            <v>4</v>
          </cell>
          <cell r="N1168">
            <v>973.41</v>
          </cell>
        </row>
        <row r="1169">
          <cell r="D1169" t="str">
            <v>Printer</v>
          </cell>
          <cell r="E1169">
            <v>2</v>
          </cell>
          <cell r="F1169">
            <v>92.87</v>
          </cell>
          <cell r="K1169">
            <v>5</v>
          </cell>
          <cell r="N1169">
            <v>185.74</v>
          </cell>
        </row>
        <row r="1170">
          <cell r="D1170" t="str">
            <v>Laptop</v>
          </cell>
          <cell r="E1170">
            <v>2</v>
          </cell>
          <cell r="F1170">
            <v>331.42</v>
          </cell>
          <cell r="K1170">
            <v>6</v>
          </cell>
          <cell r="N1170">
            <v>662.84</v>
          </cell>
        </row>
        <row r="1171">
          <cell r="D1171" t="str">
            <v>Chair</v>
          </cell>
          <cell r="E1171">
            <v>1</v>
          </cell>
          <cell r="F1171">
            <v>525.42999999999995</v>
          </cell>
          <cell r="K1171">
            <v>2</v>
          </cell>
          <cell r="N1171">
            <v>525.42999999999995</v>
          </cell>
        </row>
        <row r="1172">
          <cell r="D1172" t="str">
            <v>Printer</v>
          </cell>
          <cell r="E1172">
            <v>2</v>
          </cell>
          <cell r="F1172">
            <v>697.19</v>
          </cell>
          <cell r="K1172">
            <v>7</v>
          </cell>
          <cell r="N1172">
            <v>1394.38</v>
          </cell>
        </row>
        <row r="1173">
          <cell r="D1173" t="str">
            <v>Phone</v>
          </cell>
          <cell r="E1173">
            <v>4</v>
          </cell>
          <cell r="F1173">
            <v>518.4</v>
          </cell>
          <cell r="K1173">
            <v>7</v>
          </cell>
          <cell r="N1173">
            <v>2073.6</v>
          </cell>
        </row>
        <row r="1174">
          <cell r="D1174" t="str">
            <v>Desk</v>
          </cell>
          <cell r="E1174">
            <v>3</v>
          </cell>
          <cell r="F1174">
            <v>131.96</v>
          </cell>
          <cell r="K1174">
            <v>8</v>
          </cell>
          <cell r="N1174">
            <v>395.88</v>
          </cell>
        </row>
        <row r="1175">
          <cell r="D1175" t="str">
            <v>Monitor</v>
          </cell>
          <cell r="E1175">
            <v>1</v>
          </cell>
          <cell r="F1175">
            <v>208.36</v>
          </cell>
          <cell r="K1175">
            <v>4</v>
          </cell>
          <cell r="N1175">
            <v>208.36</v>
          </cell>
        </row>
        <row r="1176">
          <cell r="D1176" t="str">
            <v>Printer</v>
          </cell>
          <cell r="E1176">
            <v>3</v>
          </cell>
          <cell r="F1176">
            <v>222.34</v>
          </cell>
          <cell r="K1176">
            <v>5</v>
          </cell>
          <cell r="N1176">
            <v>667.02</v>
          </cell>
        </row>
        <row r="1177">
          <cell r="D1177" t="str">
            <v>Printer</v>
          </cell>
          <cell r="E1177">
            <v>3</v>
          </cell>
          <cell r="F1177">
            <v>91.74</v>
          </cell>
          <cell r="K1177">
            <v>8</v>
          </cell>
          <cell r="N1177">
            <v>275.22000000000003</v>
          </cell>
        </row>
        <row r="1178">
          <cell r="D1178" t="str">
            <v>Tablet</v>
          </cell>
          <cell r="E1178">
            <v>2</v>
          </cell>
          <cell r="F1178">
            <v>213.83</v>
          </cell>
          <cell r="K1178">
            <v>2</v>
          </cell>
          <cell r="N1178">
            <v>427.66</v>
          </cell>
        </row>
        <row r="1179">
          <cell r="D1179" t="str">
            <v>Printer</v>
          </cell>
          <cell r="E1179">
            <v>1</v>
          </cell>
          <cell r="F1179">
            <v>127.55</v>
          </cell>
          <cell r="K1179">
            <v>3</v>
          </cell>
          <cell r="N1179">
            <v>127.55</v>
          </cell>
        </row>
        <row r="1180">
          <cell r="D1180" t="str">
            <v>Monitor</v>
          </cell>
          <cell r="E1180">
            <v>1</v>
          </cell>
          <cell r="F1180">
            <v>70.239999999999995</v>
          </cell>
          <cell r="K1180">
            <v>4</v>
          </cell>
          <cell r="N1180">
            <v>70.239999999999995</v>
          </cell>
        </row>
        <row r="1181">
          <cell r="D1181" t="str">
            <v>Laptop</v>
          </cell>
          <cell r="E1181">
            <v>5</v>
          </cell>
          <cell r="F1181">
            <v>518.54999999999995</v>
          </cell>
          <cell r="K1181">
            <v>6</v>
          </cell>
          <cell r="N1181">
            <v>2592.75</v>
          </cell>
        </row>
        <row r="1182">
          <cell r="D1182" t="str">
            <v>Chair</v>
          </cell>
          <cell r="E1182">
            <v>4</v>
          </cell>
          <cell r="F1182">
            <v>298.36</v>
          </cell>
          <cell r="K1182">
            <v>8</v>
          </cell>
          <cell r="N1182">
            <v>1193.44</v>
          </cell>
        </row>
        <row r="1183">
          <cell r="D1183" t="str">
            <v>Desk</v>
          </cell>
          <cell r="E1183">
            <v>3</v>
          </cell>
          <cell r="F1183">
            <v>158.74</v>
          </cell>
          <cell r="K1183">
            <v>7</v>
          </cell>
          <cell r="N1183">
            <v>476.22</v>
          </cell>
        </row>
        <row r="1184">
          <cell r="D1184" t="str">
            <v>Chair</v>
          </cell>
          <cell r="E1184">
            <v>2</v>
          </cell>
          <cell r="F1184">
            <v>420.29</v>
          </cell>
          <cell r="K1184">
            <v>3</v>
          </cell>
          <cell r="N1184">
            <v>840.58</v>
          </cell>
        </row>
        <row r="1185">
          <cell r="D1185" t="str">
            <v>Desk</v>
          </cell>
          <cell r="E1185">
            <v>1</v>
          </cell>
          <cell r="F1185">
            <v>281.52</v>
          </cell>
          <cell r="K1185">
            <v>6</v>
          </cell>
          <cell r="N1185">
            <v>281.52</v>
          </cell>
        </row>
        <row r="1186">
          <cell r="D1186" t="str">
            <v>Laptop</v>
          </cell>
          <cell r="E1186">
            <v>1</v>
          </cell>
          <cell r="F1186">
            <v>204.08</v>
          </cell>
          <cell r="K1186">
            <v>4</v>
          </cell>
          <cell r="N1186">
            <v>204.08</v>
          </cell>
        </row>
        <row r="1187">
          <cell r="D1187" t="str">
            <v>Chair</v>
          </cell>
          <cell r="E1187">
            <v>1</v>
          </cell>
          <cell r="F1187">
            <v>343.31</v>
          </cell>
          <cell r="K1187">
            <v>6</v>
          </cell>
          <cell r="N1187">
            <v>343.31</v>
          </cell>
        </row>
        <row r="1188">
          <cell r="D1188" t="str">
            <v>Monitor</v>
          </cell>
          <cell r="E1188">
            <v>1</v>
          </cell>
          <cell r="F1188">
            <v>163.32</v>
          </cell>
          <cell r="K1188">
            <v>6</v>
          </cell>
          <cell r="N1188">
            <v>163.32</v>
          </cell>
        </row>
        <row r="1189">
          <cell r="D1189" t="str">
            <v>Desk</v>
          </cell>
          <cell r="E1189">
            <v>2</v>
          </cell>
          <cell r="F1189">
            <v>184.6</v>
          </cell>
          <cell r="K1189">
            <v>7</v>
          </cell>
          <cell r="N1189">
            <v>369.2</v>
          </cell>
        </row>
        <row r="1190">
          <cell r="D1190" t="str">
            <v>Printer</v>
          </cell>
          <cell r="E1190">
            <v>2</v>
          </cell>
          <cell r="F1190">
            <v>371.29</v>
          </cell>
          <cell r="K1190">
            <v>5</v>
          </cell>
          <cell r="N1190">
            <v>742.58</v>
          </cell>
        </row>
        <row r="1191">
          <cell r="D1191" t="str">
            <v>Tablet</v>
          </cell>
          <cell r="E1191">
            <v>5</v>
          </cell>
          <cell r="F1191">
            <v>389.22</v>
          </cell>
          <cell r="K1191">
            <v>7</v>
          </cell>
          <cell r="N1191">
            <v>1946.1</v>
          </cell>
        </row>
        <row r="1192">
          <cell r="D1192" t="str">
            <v>Desk</v>
          </cell>
          <cell r="E1192">
            <v>3</v>
          </cell>
          <cell r="F1192">
            <v>616.39</v>
          </cell>
          <cell r="K1192">
            <v>6</v>
          </cell>
          <cell r="N1192">
            <v>1849.17</v>
          </cell>
        </row>
        <row r="1193">
          <cell r="D1193" t="str">
            <v>Desk</v>
          </cell>
          <cell r="E1193">
            <v>4</v>
          </cell>
          <cell r="F1193">
            <v>376.43</v>
          </cell>
          <cell r="K1193">
            <v>5</v>
          </cell>
          <cell r="N1193">
            <v>1505.72</v>
          </cell>
        </row>
        <row r="1194">
          <cell r="D1194" t="str">
            <v>Chair</v>
          </cell>
          <cell r="E1194">
            <v>3</v>
          </cell>
          <cell r="F1194">
            <v>432.85</v>
          </cell>
          <cell r="K1194">
            <v>4</v>
          </cell>
          <cell r="N1194">
            <v>1298.55</v>
          </cell>
        </row>
        <row r="1195">
          <cell r="D1195" t="str">
            <v>Tablet</v>
          </cell>
          <cell r="E1195">
            <v>1</v>
          </cell>
          <cell r="F1195">
            <v>687.89</v>
          </cell>
          <cell r="K1195">
            <v>1</v>
          </cell>
          <cell r="N1195">
            <v>687.89</v>
          </cell>
        </row>
        <row r="1196">
          <cell r="D1196" t="str">
            <v>Printer</v>
          </cell>
          <cell r="E1196">
            <v>3</v>
          </cell>
          <cell r="F1196">
            <v>189.44</v>
          </cell>
          <cell r="K1196">
            <v>4</v>
          </cell>
          <cell r="N1196">
            <v>568.32000000000005</v>
          </cell>
        </row>
        <row r="1197">
          <cell r="D1197" t="str">
            <v>Desk</v>
          </cell>
          <cell r="E1197">
            <v>1</v>
          </cell>
          <cell r="F1197">
            <v>107.04</v>
          </cell>
          <cell r="K1197">
            <v>6</v>
          </cell>
          <cell r="N1197">
            <v>107.04</v>
          </cell>
        </row>
        <row r="1198">
          <cell r="D1198" t="str">
            <v>Monitor</v>
          </cell>
          <cell r="E1198">
            <v>2</v>
          </cell>
          <cell r="F1198">
            <v>662.53</v>
          </cell>
          <cell r="K1198">
            <v>5</v>
          </cell>
          <cell r="N1198">
            <v>1325.06</v>
          </cell>
        </row>
        <row r="1199">
          <cell r="D1199" t="str">
            <v>Tablet</v>
          </cell>
          <cell r="E1199">
            <v>2</v>
          </cell>
          <cell r="F1199">
            <v>436.84</v>
          </cell>
          <cell r="K1199">
            <v>2</v>
          </cell>
          <cell r="N1199">
            <v>873.68</v>
          </cell>
        </row>
        <row r="1200">
          <cell r="D1200" t="str">
            <v>Chair</v>
          </cell>
          <cell r="E1200">
            <v>4</v>
          </cell>
          <cell r="F1200">
            <v>262.52</v>
          </cell>
          <cell r="K1200">
            <v>4</v>
          </cell>
          <cell r="N1200">
            <v>1050.08</v>
          </cell>
        </row>
        <row r="1201">
          <cell r="D1201" t="str">
            <v>Tablet</v>
          </cell>
          <cell r="E1201">
            <v>4</v>
          </cell>
          <cell r="F1201">
            <v>560.58000000000004</v>
          </cell>
          <cell r="K1201">
            <v>6</v>
          </cell>
          <cell r="N1201">
            <v>2242.3200000000002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816B6-DBD5-4F92-A897-D6E2745964CD}" name="Table1" displayName="Table1" ref="A3:D33" totalsRowShown="0" headerRowDxfId="0">
  <autoFilter ref="A3:D33" xr:uid="{EC0816B6-DBD5-4F92-A897-D6E2745964CD}"/>
  <tableColumns count="4">
    <tableColumn id="1" xr3:uid="{87FA7CA3-D9BA-4C57-B928-AD9E59870252}" name="Year"/>
    <tableColumn id="2" xr3:uid="{CF8327E9-0C8B-476C-B784-F6A4B11D1354}" name="Month"/>
    <tableColumn id="3" xr3:uid="{51C952ED-14A1-455B-AEFF-1C808DCF5588}" name="Orders"/>
    <tableColumn id="4" xr3:uid="{B7FA5CA6-88EF-4A1A-B389-D9B318F16DA4}" name="Revenue ($)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5FFB-92C8-4DAD-8EE2-D13D8C9F5BFA}">
  <dimension ref="A1:F14"/>
  <sheetViews>
    <sheetView showGridLines="0" workbookViewId="0">
      <selection activeCell="A4" sqref="A4"/>
    </sheetView>
  </sheetViews>
  <sheetFormatPr defaultRowHeight="14.5" x14ac:dyDescent="0.35"/>
  <cols>
    <col min="1" max="6" width="20" customWidth="1"/>
  </cols>
  <sheetData>
    <row r="1" spans="1:6" ht="35" customHeight="1" x14ac:dyDescent="0.35">
      <c r="A1" s="29" t="s">
        <v>94</v>
      </c>
      <c r="B1" s="30"/>
      <c r="C1" s="30"/>
      <c r="D1" s="30"/>
      <c r="E1" s="30"/>
      <c r="F1" s="30"/>
    </row>
    <row r="3" spans="1:6" ht="20" customHeight="1" x14ac:dyDescent="0.35">
      <c r="A3" s="23" t="s">
        <v>18</v>
      </c>
      <c r="B3" s="28" t="s">
        <v>16</v>
      </c>
      <c r="C3" s="24" t="s">
        <v>93</v>
      </c>
      <c r="D3" s="25" t="s">
        <v>92</v>
      </c>
      <c r="E3" s="26" t="s">
        <v>91</v>
      </c>
      <c r="F3" s="27" t="s">
        <v>90</v>
      </c>
    </row>
    <row r="4" spans="1:6" ht="22" customHeight="1" x14ac:dyDescent="0.35">
      <c r="A4" s="39" t="s">
        <v>89</v>
      </c>
      <c r="B4" s="38" t="s">
        <v>88</v>
      </c>
      <c r="C4" s="37" t="s">
        <v>87</v>
      </c>
      <c r="D4" s="36" t="s">
        <v>86</v>
      </c>
      <c r="E4" s="35" t="s">
        <v>85</v>
      </c>
      <c r="F4" s="34" t="s">
        <v>84</v>
      </c>
    </row>
    <row r="6" spans="1:6" ht="18" customHeight="1" x14ac:dyDescent="0.35">
      <c r="A6" s="22" t="s">
        <v>83</v>
      </c>
    </row>
    <row r="7" spans="1:6" x14ac:dyDescent="0.35">
      <c r="A7" s="21" t="s">
        <v>82</v>
      </c>
      <c r="B7" s="20" t="s">
        <v>81</v>
      </c>
      <c r="C7" s="12"/>
      <c r="D7" s="12"/>
      <c r="E7" s="12"/>
      <c r="F7" s="12"/>
    </row>
    <row r="8" spans="1:6" x14ac:dyDescent="0.35">
      <c r="A8" s="33" t="s">
        <v>80</v>
      </c>
      <c r="B8" s="31" t="s">
        <v>79</v>
      </c>
      <c r="C8" s="32"/>
      <c r="D8" s="32"/>
      <c r="E8" s="32"/>
      <c r="F8" s="32"/>
    </row>
    <row r="9" spans="1:6" x14ac:dyDescent="0.35">
      <c r="A9" s="21" t="s">
        <v>78</v>
      </c>
      <c r="B9" s="20" t="s">
        <v>77</v>
      </c>
      <c r="C9" s="12"/>
      <c r="D9" s="12"/>
      <c r="E9" s="12"/>
      <c r="F9" s="12"/>
    </row>
    <row r="10" spans="1:6" x14ac:dyDescent="0.35">
      <c r="A10" s="33" t="s">
        <v>76</v>
      </c>
      <c r="B10" s="31" t="s">
        <v>75</v>
      </c>
      <c r="C10" s="32"/>
      <c r="D10" s="32"/>
      <c r="E10" s="32"/>
      <c r="F10" s="32"/>
    </row>
    <row r="11" spans="1:6" x14ac:dyDescent="0.35">
      <c r="A11" s="21" t="s">
        <v>74</v>
      </c>
      <c r="B11" s="20" t="s">
        <v>73</v>
      </c>
      <c r="C11" s="12"/>
      <c r="D11" s="12"/>
      <c r="E11" s="12"/>
      <c r="F11" s="12"/>
    </row>
    <row r="12" spans="1:6" x14ac:dyDescent="0.35">
      <c r="A12" s="33" t="s">
        <v>72</v>
      </c>
      <c r="B12" s="31" t="s">
        <v>71</v>
      </c>
      <c r="C12" s="32"/>
      <c r="D12" s="32"/>
      <c r="E12" s="32"/>
      <c r="F12" s="32"/>
    </row>
    <row r="13" spans="1:6" x14ac:dyDescent="0.35">
      <c r="A13" s="21" t="s">
        <v>70</v>
      </c>
      <c r="B13" s="20" t="s">
        <v>69</v>
      </c>
      <c r="C13" s="12"/>
      <c r="D13" s="12"/>
      <c r="E13" s="12"/>
      <c r="F13" s="12"/>
    </row>
    <row r="14" spans="1:6" x14ac:dyDescent="0.35">
      <c r="A14" s="33" t="s">
        <v>68</v>
      </c>
      <c r="B14" s="31" t="s">
        <v>67</v>
      </c>
      <c r="C14" s="32"/>
      <c r="D14" s="32"/>
      <c r="E14" s="32"/>
      <c r="F14" s="32"/>
    </row>
  </sheetData>
  <mergeCells count="9">
    <mergeCell ref="B7:F7"/>
    <mergeCell ref="B10:F10"/>
    <mergeCell ref="A1:F1"/>
    <mergeCell ref="B11:F11"/>
    <mergeCell ref="B14:F14"/>
    <mergeCell ref="B8:F8"/>
    <mergeCell ref="B9:F9"/>
    <mergeCell ref="B13:F13"/>
    <mergeCell ref="B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6662-6BA0-4AD3-A964-32D594AFDBD9}">
  <dimension ref="A1:E11"/>
  <sheetViews>
    <sheetView workbookViewId="0">
      <selection activeCell="D3" sqref="D3"/>
    </sheetView>
  </sheetViews>
  <sheetFormatPr defaultRowHeight="14.5" x14ac:dyDescent="0.35"/>
  <cols>
    <col min="1" max="1" width="28.7265625" customWidth="1"/>
    <col min="2" max="2" width="17.54296875" customWidth="1"/>
    <col min="3" max="3" width="13.54296875" customWidth="1"/>
    <col min="4" max="4" width="15.81640625" customWidth="1"/>
    <col min="5" max="5" width="14.7265625" customWidth="1"/>
  </cols>
  <sheetData>
    <row r="1" spans="1:5" ht="18.5" x14ac:dyDescent="0.45">
      <c r="A1" s="4" t="s">
        <v>0</v>
      </c>
      <c r="B1" s="4"/>
      <c r="C1" s="4"/>
      <c r="D1" s="4"/>
      <c r="E1" s="4"/>
    </row>
    <row r="3" spans="1:5" ht="15.5" x14ac:dyDescent="0.35">
      <c r="A3" s="3" t="s">
        <v>1</v>
      </c>
      <c r="B3" s="3" t="s">
        <v>2</v>
      </c>
      <c r="C3" s="3" t="s">
        <v>3</v>
      </c>
      <c r="D3" s="3" t="s">
        <v>4</v>
      </c>
      <c r="E3" s="2" t="s">
        <v>5</v>
      </c>
    </row>
    <row r="4" spans="1:5" x14ac:dyDescent="0.35">
      <c r="A4" t="s">
        <v>6</v>
      </c>
      <c r="B4" s="1">
        <f>COUNT('[1]Cleaned Datasheet'!E:E)</f>
        <v>1200</v>
      </c>
      <c r="C4" s="1">
        <f>COUNT('[1]Cleaned Datasheet'!F:F)</f>
        <v>1200</v>
      </c>
      <c r="D4" s="1">
        <f>COUNT('[1]Cleaned Datasheet'!N:N)</f>
        <v>1200</v>
      </c>
      <c r="E4" s="1">
        <f>COUNT('[1]Cleaned Datasheet'!K:K)</f>
        <v>1200</v>
      </c>
    </row>
    <row r="5" spans="1:5" x14ac:dyDescent="0.35">
      <c r="A5" t="s">
        <v>7</v>
      </c>
      <c r="B5" s="1">
        <f>AVERAGE('[1]Cleaned Datasheet'!E:E)</f>
        <v>2.9458333333333333</v>
      </c>
      <c r="C5" s="1">
        <f>AVERAGE('[1]Cleaned Datasheet'!F:F)</f>
        <v>356.41275000000007</v>
      </c>
      <c r="D5" s="1">
        <f>AVERAGE('[1]Cleaned Datasheet'!N:N)</f>
        <v>1053.9683000000005</v>
      </c>
      <c r="E5" s="1">
        <f>AVERAGE('[1]Cleaned Datasheet'!K:K)</f>
        <v>5.4850000000000003</v>
      </c>
    </row>
    <row r="6" spans="1:5" x14ac:dyDescent="0.35">
      <c r="A6" t="s">
        <v>8</v>
      </c>
      <c r="B6" s="1">
        <f>MEDIAN('[1]Cleaned Datasheet'!E:E)</f>
        <v>3</v>
      </c>
      <c r="C6" s="1">
        <f>MEDIAN('[1]Cleaned Datasheet'!F:F)</f>
        <v>364.21</v>
      </c>
      <c r="D6" s="1">
        <f>MEDIAN('[1]Cleaned Datasheet'!N:N)</f>
        <v>823.61500000000001</v>
      </c>
      <c r="E6" s="1">
        <f>MEDIAN('[1]Cleaned Datasheet'!K:K)</f>
        <v>5</v>
      </c>
    </row>
    <row r="7" spans="1:5" x14ac:dyDescent="0.35">
      <c r="A7" t="s">
        <v>13</v>
      </c>
      <c r="B7" s="1">
        <f>_xlfn.STDEV.S('[1]Cleaned Datasheet'!E:E)</f>
        <v>1.4075570987983175</v>
      </c>
      <c r="C7" s="1">
        <f>_xlfn.STDEV.S('[1]Cleaned Datasheet'!F:F)</f>
        <v>197.17714641491236</v>
      </c>
      <c r="D7" s="1">
        <f>_xlfn.STDEV.S('[1]Cleaned Datasheet'!N:N)</f>
        <v>819.85655836464559</v>
      </c>
      <c r="E7" s="1">
        <f>_xlfn.STDEV.S('[1]Cleaned Datasheet'!K:K)</f>
        <v>2.2819833201028645</v>
      </c>
    </row>
    <row r="8" spans="1:5" x14ac:dyDescent="0.35">
      <c r="A8" t="s">
        <v>9</v>
      </c>
      <c r="B8" s="1">
        <f>MIN('[1]Cleaned Datasheet'!E:E)</f>
        <v>1</v>
      </c>
      <c r="C8" s="1">
        <f>MIN('[1]Cleaned Datasheet'!F:F)</f>
        <v>11.39</v>
      </c>
      <c r="D8" s="1">
        <f>MIN('[1]Cleaned Datasheet'!N:N)</f>
        <v>11.39</v>
      </c>
      <c r="E8" s="1">
        <f>MIN('[1]Cleaned Datasheet'!K:K)</f>
        <v>1</v>
      </c>
    </row>
    <row r="9" spans="1:5" x14ac:dyDescent="0.35">
      <c r="A9" t="s">
        <v>10</v>
      </c>
      <c r="B9" s="1">
        <f>_xlfn.PERCENTILE.INC('[1]Cleaned Datasheet'!E:E,0.25)</f>
        <v>2</v>
      </c>
      <c r="C9" s="1">
        <f>_xlfn.PERCENTILE.INC('[1]Cleaned Datasheet'!F:F, 0.25)</f>
        <v>186.0625</v>
      </c>
      <c r="D9" s="1">
        <f>_xlfn.PERCENTILE.INC('[1]Cleaned Datasheet'!N:N, 0.25)</f>
        <v>410.52</v>
      </c>
      <c r="E9" s="1">
        <f>_xlfn.PERCENTILE.INC('[1]Cleaned Datasheet'!K:K, 0.25)</f>
        <v>4</v>
      </c>
    </row>
    <row r="10" spans="1:5" x14ac:dyDescent="0.35">
      <c r="A10" t="s">
        <v>11</v>
      </c>
      <c r="B10" s="1">
        <f>_xlfn.PERCENTILE.INC('[1]Cleaned Datasheet'!E:E,0.75)</f>
        <v>4</v>
      </c>
      <c r="C10" s="1">
        <f>_xlfn.PERCENTILE.INC('[1]Cleaned Datasheet'!F:F, 0.75)</f>
        <v>521.56999999999994</v>
      </c>
      <c r="D10" s="1">
        <f>_xlfn.PERCENTILE.INC('[1]Cleaned Datasheet'!N:N, 0.75)</f>
        <v>1578.4749999999999</v>
      </c>
      <c r="E10" s="1">
        <f>_xlfn.PERCENTILE.INC('[1]Cleaned Datasheet'!K:K, 0.75)</f>
        <v>7</v>
      </c>
    </row>
    <row r="11" spans="1:5" x14ac:dyDescent="0.35">
      <c r="A11" t="s">
        <v>12</v>
      </c>
      <c r="B11" s="1">
        <f>MAX('[1]Cleaned Datasheet'!E:E)</f>
        <v>5</v>
      </c>
      <c r="C11" s="1">
        <f>MAX('[1]Cleaned Datasheet'!F:F)</f>
        <v>699.93</v>
      </c>
      <c r="D11" s="1">
        <f>MAX('[1]Cleaned Datasheet'!N:N)</f>
        <v>3456.4</v>
      </c>
      <c r="E11" s="1">
        <f>MAX('[1]Cleaned Datasheet'!K:K)</f>
        <v>10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EABB-BE68-4F86-9FC1-CE9A9514F2C4}">
  <dimension ref="A1:D16"/>
  <sheetViews>
    <sheetView zoomScale="59" zoomScaleNormal="59" workbookViewId="0">
      <selection activeCell="D11" sqref="D11"/>
    </sheetView>
  </sheetViews>
  <sheetFormatPr defaultRowHeight="14.5" x14ac:dyDescent="0.35"/>
  <cols>
    <col min="1" max="1" width="16" customWidth="1"/>
    <col min="2" max="2" width="12" customWidth="1"/>
    <col min="3" max="3" width="16" customWidth="1"/>
    <col min="4" max="4" width="18" customWidth="1"/>
  </cols>
  <sheetData>
    <row r="1" spans="1:4" ht="15.5" x14ac:dyDescent="0.35">
      <c r="A1" s="22" t="s">
        <v>111</v>
      </c>
    </row>
    <row r="2" spans="1:4" s="42" customFormat="1" x14ac:dyDescent="0.35">
      <c r="A2" s="43" t="s">
        <v>110</v>
      </c>
      <c r="B2" s="43" t="s">
        <v>6</v>
      </c>
      <c r="C2" s="43" t="s">
        <v>109</v>
      </c>
    </row>
    <row r="3" spans="1:4" x14ac:dyDescent="0.35">
      <c r="A3" t="s">
        <v>108</v>
      </c>
      <c r="B3">
        <v>250</v>
      </c>
      <c r="C3">
        <v>20.8</v>
      </c>
    </row>
    <row r="4" spans="1:4" x14ac:dyDescent="0.35">
      <c r="A4" s="5" t="s">
        <v>107</v>
      </c>
      <c r="B4" s="5">
        <v>247</v>
      </c>
      <c r="C4" s="5">
        <v>20.6</v>
      </c>
    </row>
    <row r="5" spans="1:4" x14ac:dyDescent="0.35">
      <c r="A5" t="s">
        <v>106</v>
      </c>
      <c r="B5">
        <v>237</v>
      </c>
      <c r="C5">
        <v>19.8</v>
      </c>
    </row>
    <row r="6" spans="1:4" x14ac:dyDescent="0.35">
      <c r="A6" s="5" t="s">
        <v>105</v>
      </c>
      <c r="B6" s="5">
        <v>235</v>
      </c>
      <c r="C6" s="5">
        <v>19.600000000000001</v>
      </c>
    </row>
    <row r="7" spans="1:4" x14ac:dyDescent="0.35">
      <c r="A7" t="s">
        <v>104</v>
      </c>
      <c r="B7">
        <v>231</v>
      </c>
      <c r="C7">
        <v>19.3</v>
      </c>
    </row>
    <row r="10" spans="1:4" ht="15.5" x14ac:dyDescent="0.35">
      <c r="A10" s="22" t="s">
        <v>103</v>
      </c>
    </row>
    <row r="11" spans="1:4" s="40" customFormat="1" x14ac:dyDescent="0.35">
      <c r="A11" s="41" t="s">
        <v>102</v>
      </c>
      <c r="B11" s="41" t="s">
        <v>29</v>
      </c>
      <c r="C11" s="41" t="s">
        <v>101</v>
      </c>
      <c r="D11" s="41" t="s">
        <v>100</v>
      </c>
    </row>
    <row r="12" spans="1:4" x14ac:dyDescent="0.35">
      <c r="A12" s="5" t="s">
        <v>99</v>
      </c>
      <c r="B12" s="5">
        <v>234</v>
      </c>
      <c r="C12" s="5">
        <v>1127.55</v>
      </c>
      <c r="D12" s="5">
        <v>263847.63</v>
      </c>
    </row>
    <row r="13" spans="1:4" x14ac:dyDescent="0.35">
      <c r="A13" t="s">
        <v>98</v>
      </c>
      <c r="B13">
        <v>258</v>
      </c>
      <c r="C13">
        <v>1017.22</v>
      </c>
      <c r="D13">
        <v>262442.94</v>
      </c>
    </row>
    <row r="14" spans="1:4" x14ac:dyDescent="0.35">
      <c r="A14" s="5" t="s">
        <v>97</v>
      </c>
      <c r="B14" s="5">
        <v>246</v>
      </c>
      <c r="C14" s="5">
        <v>1056.04</v>
      </c>
      <c r="D14" s="5">
        <v>259786.29</v>
      </c>
    </row>
    <row r="15" spans="1:4" x14ac:dyDescent="0.35">
      <c r="A15" t="s">
        <v>96</v>
      </c>
      <c r="B15">
        <v>230</v>
      </c>
      <c r="C15">
        <v>1070.97</v>
      </c>
      <c r="D15">
        <v>246323.92</v>
      </c>
    </row>
    <row r="16" spans="1:4" x14ac:dyDescent="0.35">
      <c r="A16" s="5" t="s">
        <v>95</v>
      </c>
      <c r="B16" s="5">
        <v>232</v>
      </c>
      <c r="C16" s="5">
        <v>1001.56</v>
      </c>
      <c r="D16" s="5">
        <v>232361.18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0E86-0B45-4D95-8AFD-F2909808CCDA}">
  <dimension ref="A1:E10"/>
  <sheetViews>
    <sheetView workbookViewId="0">
      <selection activeCell="D7" sqref="D7"/>
    </sheetView>
  </sheetViews>
  <sheetFormatPr defaultRowHeight="14.5" x14ac:dyDescent="0.35"/>
  <cols>
    <col min="1" max="1" width="10.6328125" customWidth="1"/>
    <col min="2" max="2" width="13.36328125" customWidth="1"/>
    <col min="3" max="3" width="19.7265625" customWidth="1"/>
    <col min="4" max="4" width="15.54296875" customWidth="1"/>
    <col min="5" max="5" width="18.54296875" customWidth="1"/>
  </cols>
  <sheetData>
    <row r="1" spans="1:5" ht="18.5" x14ac:dyDescent="0.45">
      <c r="A1" s="4" t="s">
        <v>14</v>
      </c>
      <c r="B1" s="4"/>
      <c r="C1" s="4"/>
      <c r="D1" s="4"/>
      <c r="E1" s="4"/>
    </row>
    <row r="3" spans="1:5" ht="15.5" x14ac:dyDescent="0.3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</row>
    <row r="4" spans="1:5" x14ac:dyDescent="0.35">
      <c r="A4" t="s">
        <v>20</v>
      </c>
      <c r="B4">
        <f>COUNTIF('[1]Cleaned Datasheet'!D:D,A4)</f>
        <v>178</v>
      </c>
      <c r="C4">
        <f>SUMIF('[1]Cleaned Datasheet'!D:D, A4, '[1]Cleaned Datasheet'!E:E)</f>
        <v>562</v>
      </c>
      <c r="D4" s="1">
        <f>SUMIF('[1]Cleaned Datasheet'!D:D, A4, '[1]Cleaned Datasheet'!N:N)</f>
        <v>195620.11000000002</v>
      </c>
      <c r="E4" s="1">
        <f t="shared" ref="E4:E10" si="0">D4/B4</f>
        <v>1098.989382022472</v>
      </c>
    </row>
    <row r="5" spans="1:5" x14ac:dyDescent="0.35">
      <c r="A5" t="s">
        <v>25</v>
      </c>
      <c r="B5">
        <f>COUNTIF('[1]Cleaned Datasheet'!D:D,A5)</f>
        <v>181</v>
      </c>
      <c r="C5">
        <f>SUMIF('[1]Cleaned Datasheet'!D:D, A5, '[1]Cleaned Datasheet'!E:E)</f>
        <v>542</v>
      </c>
      <c r="D5" s="1">
        <f>SUMIF('[1]Cleaned Datasheet'!D:D, A5, '[1]Cleaned Datasheet'!N:N)</f>
        <v>195612.60999999996</v>
      </c>
      <c r="E5" s="1">
        <f t="shared" si="0"/>
        <v>1080.7326519337014</v>
      </c>
    </row>
    <row r="6" spans="1:5" x14ac:dyDescent="0.35">
      <c r="A6" t="s">
        <v>22</v>
      </c>
      <c r="B6">
        <f>COUNTIF('[1]Cleaned Datasheet'!D:D,A6)</f>
        <v>173</v>
      </c>
      <c r="C6">
        <f>SUMIF('[1]Cleaned Datasheet'!D:D, A6, '[1]Cleaned Datasheet'!E:E)</f>
        <v>535</v>
      </c>
      <c r="D6" s="1">
        <f>SUMIF('[1]Cleaned Datasheet'!D:D, A6, '[1]Cleaned Datasheet'!N:N)</f>
        <v>192126.55999999994</v>
      </c>
      <c r="E6" s="1">
        <f t="shared" si="0"/>
        <v>1110.558150289017</v>
      </c>
    </row>
    <row r="7" spans="1:5" x14ac:dyDescent="0.35">
      <c r="A7" t="s">
        <v>26</v>
      </c>
      <c r="B7">
        <f>COUNTIF('[1]Cleaned Datasheet'!D:D,A7)</f>
        <v>179</v>
      </c>
      <c r="C7">
        <f>SUMIF('[1]Cleaned Datasheet'!D:D, A7, '[1]Cleaned Datasheet'!E:E)</f>
        <v>497</v>
      </c>
      <c r="D7" s="1">
        <f>SUMIF('[1]Cleaned Datasheet'!D:D, A7, '[1]Cleaned Datasheet'!N:N)</f>
        <v>186568.95000000007</v>
      </c>
      <c r="E7" s="1">
        <f t="shared" si="0"/>
        <v>1042.2846368715088</v>
      </c>
    </row>
    <row r="8" spans="1:5" x14ac:dyDescent="0.35">
      <c r="A8" t="s">
        <v>23</v>
      </c>
      <c r="B8">
        <f>COUNTIF('[1]Cleaned Datasheet'!D:D,A8)</f>
        <v>163</v>
      </c>
      <c r="C8">
        <f>SUMIF('[1]Cleaned Datasheet'!D:D, A8, '[1]Cleaned Datasheet'!E:E)</f>
        <v>480</v>
      </c>
      <c r="D8" s="1">
        <f>SUMIF('[1]Cleaned Datasheet'!D:D, A8, '[1]Cleaned Datasheet'!N:N)</f>
        <v>175651.40999999997</v>
      </c>
      <c r="E8" s="1">
        <f t="shared" si="0"/>
        <v>1077.6160122699384</v>
      </c>
    </row>
    <row r="9" spans="1:5" x14ac:dyDescent="0.35">
      <c r="A9" t="s">
        <v>21</v>
      </c>
      <c r="B9">
        <f>COUNTIF('[1]Cleaned Datasheet'!D:D,A9)</f>
        <v>170</v>
      </c>
      <c r="C9">
        <f>SUMIF('[1]Cleaned Datasheet'!D:D, A9, '[1]Cleaned Datasheet'!E:E)</f>
        <v>508</v>
      </c>
      <c r="D9" s="1">
        <f>SUMIF('[1]Cleaned Datasheet'!D:D, A9, '[1]Cleaned Datasheet'!N:N)</f>
        <v>167459.93</v>
      </c>
      <c r="E9" s="1">
        <f t="shared" si="0"/>
        <v>985.05841176470585</v>
      </c>
    </row>
    <row r="10" spans="1:5" x14ac:dyDescent="0.35">
      <c r="A10" t="s">
        <v>24</v>
      </c>
      <c r="B10">
        <f>COUNTIF('[1]Cleaned Datasheet'!D:D,A10)</f>
        <v>156</v>
      </c>
      <c r="C10">
        <f>SUMIF('[1]Cleaned Datasheet'!D:D, A10, '[1]Cleaned Datasheet'!E:E)</f>
        <v>411</v>
      </c>
      <c r="D10" s="1">
        <f>SUMIF('[1]Cleaned Datasheet'!D:D, A10, '[1]Cleaned Datasheet'!N:N)</f>
        <v>151722.39000000001</v>
      </c>
      <c r="E10" s="1">
        <f t="shared" si="0"/>
        <v>972.57942307692315</v>
      </c>
    </row>
  </sheetData>
  <sortState xmlns:xlrd2="http://schemas.microsoft.com/office/spreadsheetml/2017/richdata2" ref="A4:E10">
    <sortCondition descending="1" ref="D4:D10"/>
  </sortState>
  <mergeCells count="1"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BA3F-D0E6-4D4B-BA24-6B5B19604D7C}">
  <dimension ref="A1:COM33"/>
  <sheetViews>
    <sheetView zoomScale="76" zoomScaleNormal="76" workbookViewId="0">
      <selection activeCell="L4" sqref="L4"/>
    </sheetView>
  </sheetViews>
  <sheetFormatPr defaultRowHeight="14.5" x14ac:dyDescent="0.35"/>
  <cols>
    <col min="1" max="1" width="8" customWidth="1"/>
    <col min="2" max="2" width="14" customWidth="1"/>
    <col min="3" max="3" width="10" customWidth="1"/>
    <col min="4" max="4" width="14" customWidth="1"/>
  </cols>
  <sheetData>
    <row r="1" spans="1:2431" s="8" customFormat="1" ht="18.5" x14ac:dyDescent="0.45">
      <c r="A1" s="9" t="s">
        <v>43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  <c r="YE1" s="11"/>
      <c r="YF1" s="11"/>
      <c r="YG1" s="11"/>
      <c r="YH1" s="11"/>
      <c r="YI1" s="11"/>
      <c r="YJ1" s="11"/>
      <c r="YK1" s="11"/>
      <c r="YL1" s="11"/>
      <c r="YM1" s="11"/>
      <c r="YN1" s="11"/>
      <c r="YO1" s="11"/>
      <c r="YP1" s="11"/>
      <c r="YQ1" s="11"/>
      <c r="YR1" s="11"/>
      <c r="YS1" s="11"/>
      <c r="YT1" s="11"/>
      <c r="YU1" s="11"/>
      <c r="YV1" s="11"/>
      <c r="YW1" s="11"/>
      <c r="YX1" s="11"/>
      <c r="YY1" s="11"/>
      <c r="YZ1" s="11"/>
      <c r="ZA1" s="11"/>
      <c r="ZB1" s="11"/>
      <c r="ZC1" s="11"/>
      <c r="ZD1" s="11"/>
      <c r="ZE1" s="11"/>
      <c r="ZF1" s="11"/>
      <c r="ZG1" s="11"/>
      <c r="ZH1" s="11"/>
      <c r="ZI1" s="11"/>
      <c r="ZJ1" s="11"/>
      <c r="ZK1" s="11"/>
      <c r="ZL1" s="11"/>
      <c r="ZM1" s="11"/>
      <c r="ZN1" s="11"/>
      <c r="ZO1" s="11"/>
      <c r="ZP1" s="11"/>
      <c r="ZQ1" s="11"/>
      <c r="ZR1" s="11"/>
      <c r="ZS1" s="11"/>
      <c r="ZT1" s="11"/>
      <c r="ZU1" s="11"/>
      <c r="ZV1" s="11"/>
      <c r="ZW1" s="11"/>
      <c r="ZX1" s="11"/>
      <c r="ZY1" s="11"/>
      <c r="ZZ1" s="11"/>
      <c r="AAA1" s="11"/>
      <c r="AAB1" s="11"/>
      <c r="AAC1" s="11"/>
      <c r="AAD1" s="11"/>
      <c r="AAE1" s="11"/>
      <c r="AAF1" s="11"/>
      <c r="AAG1" s="11"/>
      <c r="AAH1" s="11"/>
      <c r="AAI1" s="11"/>
      <c r="AAJ1" s="11"/>
      <c r="AAK1" s="11"/>
      <c r="AAL1" s="11"/>
      <c r="AAM1" s="11"/>
      <c r="AAN1" s="11"/>
      <c r="AAO1" s="11"/>
      <c r="AAP1" s="11"/>
      <c r="AAQ1" s="11"/>
      <c r="AAR1" s="11"/>
      <c r="AAS1" s="11"/>
      <c r="AAT1" s="11"/>
      <c r="AAU1" s="11"/>
      <c r="AAV1" s="11"/>
      <c r="AAW1" s="11"/>
      <c r="AAX1" s="11"/>
      <c r="AAY1" s="11"/>
      <c r="AAZ1" s="11"/>
      <c r="ABA1" s="11"/>
      <c r="ABB1" s="11"/>
      <c r="ABC1" s="11"/>
      <c r="ABD1" s="11"/>
      <c r="ABE1" s="11"/>
      <c r="ABF1" s="11"/>
      <c r="ABG1" s="11"/>
      <c r="ABH1" s="11"/>
      <c r="ABI1" s="11"/>
      <c r="ABJ1" s="11"/>
      <c r="ABK1" s="11"/>
      <c r="ABL1" s="11"/>
      <c r="ABM1" s="11"/>
      <c r="ABN1" s="11"/>
      <c r="ABO1" s="11"/>
      <c r="ABP1" s="11"/>
      <c r="ABQ1" s="11"/>
      <c r="ABR1" s="11"/>
      <c r="ABS1" s="11"/>
      <c r="ABT1" s="11"/>
      <c r="ABU1" s="11"/>
      <c r="ABV1" s="11"/>
      <c r="ABW1" s="11"/>
      <c r="ABX1" s="11"/>
      <c r="ABY1" s="11"/>
      <c r="ABZ1" s="11"/>
      <c r="ACA1" s="11"/>
      <c r="ACB1" s="11"/>
      <c r="ACC1" s="11"/>
      <c r="ACD1" s="11"/>
      <c r="ACE1" s="11"/>
      <c r="ACF1" s="11"/>
      <c r="ACG1" s="11"/>
      <c r="ACH1" s="11"/>
      <c r="ACI1" s="11"/>
      <c r="ACJ1" s="11"/>
      <c r="ACK1" s="11"/>
      <c r="ACL1" s="11"/>
      <c r="ACM1" s="11"/>
      <c r="ACN1" s="11"/>
      <c r="ACO1" s="11"/>
      <c r="ACP1" s="11"/>
      <c r="ACQ1" s="11"/>
      <c r="ACR1" s="11"/>
      <c r="ACS1" s="11"/>
      <c r="ACT1" s="11"/>
      <c r="ACU1" s="11"/>
      <c r="ACV1" s="11"/>
      <c r="ACW1" s="11"/>
      <c r="ACX1" s="11"/>
      <c r="ACY1" s="11"/>
      <c r="ACZ1" s="11"/>
      <c r="ADA1" s="11"/>
      <c r="ADB1" s="11"/>
      <c r="ADC1" s="11"/>
      <c r="ADD1" s="11"/>
      <c r="ADE1" s="11"/>
      <c r="ADF1" s="11"/>
      <c r="ADG1" s="11"/>
      <c r="ADH1" s="11"/>
      <c r="ADI1" s="11"/>
      <c r="ADJ1" s="11"/>
      <c r="ADK1" s="11"/>
      <c r="ADL1" s="11"/>
      <c r="ADM1" s="11"/>
      <c r="ADN1" s="11"/>
      <c r="ADO1" s="11"/>
      <c r="ADP1" s="11"/>
      <c r="ADQ1" s="11"/>
      <c r="ADR1" s="11"/>
      <c r="ADS1" s="11"/>
      <c r="ADT1" s="11"/>
      <c r="ADU1" s="11"/>
      <c r="ADV1" s="11"/>
      <c r="ADW1" s="11"/>
      <c r="ADX1" s="11"/>
      <c r="ADY1" s="11"/>
      <c r="ADZ1" s="11"/>
      <c r="AEA1" s="11"/>
      <c r="AEB1" s="11"/>
      <c r="AEC1" s="11"/>
      <c r="AED1" s="11"/>
      <c r="AEE1" s="11"/>
      <c r="AEF1" s="11"/>
      <c r="AEG1" s="11"/>
      <c r="AEH1" s="11"/>
      <c r="AEI1" s="11"/>
      <c r="AEJ1" s="11"/>
      <c r="AEK1" s="11"/>
      <c r="AEL1" s="11"/>
      <c r="AEM1" s="11"/>
      <c r="AEN1" s="11"/>
      <c r="AEO1" s="11"/>
      <c r="AEP1" s="11"/>
      <c r="AEQ1" s="11"/>
      <c r="AER1" s="11"/>
      <c r="AES1" s="11"/>
      <c r="AET1" s="11"/>
      <c r="AEU1" s="11"/>
      <c r="AEV1" s="11"/>
      <c r="AEW1" s="11"/>
      <c r="AEX1" s="11"/>
      <c r="AEY1" s="11"/>
      <c r="AEZ1" s="11"/>
      <c r="AFA1" s="11"/>
      <c r="AFB1" s="11"/>
      <c r="AFC1" s="11"/>
      <c r="AFD1" s="11"/>
      <c r="AFE1" s="11"/>
      <c r="AFF1" s="11"/>
      <c r="AFG1" s="11"/>
      <c r="AFH1" s="11"/>
      <c r="AFI1" s="11"/>
      <c r="AFJ1" s="11"/>
      <c r="AFK1" s="11"/>
      <c r="AFL1" s="11"/>
      <c r="AFM1" s="11"/>
      <c r="AFN1" s="11"/>
      <c r="AFO1" s="11"/>
      <c r="AFP1" s="11"/>
      <c r="AFQ1" s="11"/>
      <c r="AFR1" s="11"/>
      <c r="AFS1" s="11"/>
      <c r="AFT1" s="11"/>
      <c r="AFU1" s="11"/>
      <c r="AFV1" s="11"/>
      <c r="AFW1" s="11"/>
      <c r="AFX1" s="11"/>
      <c r="AFY1" s="11"/>
      <c r="AFZ1" s="11"/>
      <c r="AGA1" s="11"/>
      <c r="AGB1" s="11"/>
      <c r="AGC1" s="11"/>
      <c r="AGD1" s="11"/>
      <c r="AGE1" s="11"/>
      <c r="AGF1" s="11"/>
      <c r="AGG1" s="11"/>
      <c r="AGH1" s="11"/>
      <c r="AGI1" s="11"/>
      <c r="AGJ1" s="11"/>
      <c r="AGK1" s="11"/>
      <c r="AGL1" s="11"/>
      <c r="AGM1" s="11"/>
      <c r="AGN1" s="11"/>
      <c r="AGO1" s="11"/>
      <c r="AGP1" s="11"/>
      <c r="AGQ1" s="11"/>
      <c r="AGR1" s="11"/>
      <c r="AGS1" s="11"/>
      <c r="AGT1" s="11"/>
      <c r="AGU1" s="11"/>
      <c r="AGV1" s="11"/>
      <c r="AGW1" s="11"/>
      <c r="AGX1" s="11"/>
      <c r="AGY1" s="11"/>
      <c r="AGZ1" s="11"/>
      <c r="AHA1" s="11"/>
      <c r="AHB1" s="11"/>
      <c r="AHC1" s="11"/>
      <c r="AHD1" s="11"/>
      <c r="AHE1" s="11"/>
      <c r="AHF1" s="11"/>
      <c r="AHG1" s="11"/>
      <c r="AHH1" s="11"/>
      <c r="AHI1" s="11"/>
      <c r="AHJ1" s="11"/>
      <c r="AHK1" s="11"/>
      <c r="AHL1" s="11"/>
      <c r="AHM1" s="11"/>
      <c r="AHN1" s="11"/>
      <c r="AHO1" s="11"/>
      <c r="AHP1" s="11"/>
      <c r="AHQ1" s="11"/>
      <c r="AHR1" s="11"/>
      <c r="AHS1" s="11"/>
      <c r="AHT1" s="11"/>
      <c r="AHU1" s="11"/>
      <c r="AHV1" s="11"/>
      <c r="AHW1" s="11"/>
      <c r="AHX1" s="11"/>
      <c r="AHY1" s="11"/>
      <c r="AHZ1" s="11"/>
      <c r="AIA1" s="11"/>
      <c r="AIB1" s="11"/>
      <c r="AIC1" s="11"/>
      <c r="AID1" s="11"/>
      <c r="AIE1" s="11"/>
      <c r="AIF1" s="11"/>
      <c r="AIG1" s="11"/>
      <c r="AIH1" s="11"/>
      <c r="AII1" s="11"/>
      <c r="AIJ1" s="11"/>
      <c r="AIK1" s="11"/>
      <c r="AIL1" s="11"/>
      <c r="AIM1" s="11"/>
      <c r="AIN1" s="11"/>
      <c r="AIO1" s="11"/>
      <c r="AIP1" s="11"/>
      <c r="AIQ1" s="11"/>
      <c r="AIR1" s="11"/>
      <c r="AIS1" s="11"/>
      <c r="AIT1" s="11"/>
      <c r="AIU1" s="11"/>
      <c r="AIV1" s="11"/>
      <c r="AIW1" s="11"/>
      <c r="AIX1" s="11"/>
      <c r="AIY1" s="11"/>
      <c r="AIZ1" s="11"/>
      <c r="AJA1" s="11"/>
      <c r="AJB1" s="11"/>
      <c r="AJC1" s="11"/>
      <c r="AJD1" s="11"/>
      <c r="AJE1" s="11"/>
      <c r="AJF1" s="11"/>
      <c r="AJG1" s="11"/>
      <c r="AJH1" s="11"/>
      <c r="AJI1" s="11"/>
      <c r="AJJ1" s="11"/>
      <c r="AJK1" s="11"/>
      <c r="AJL1" s="11"/>
      <c r="AJM1" s="11"/>
      <c r="AJN1" s="11"/>
      <c r="AJO1" s="11"/>
      <c r="AJP1" s="11"/>
      <c r="AJQ1" s="11"/>
      <c r="AJR1" s="11"/>
      <c r="AJS1" s="11"/>
      <c r="AJT1" s="11"/>
      <c r="AJU1" s="11"/>
      <c r="AJV1" s="11"/>
      <c r="AJW1" s="11"/>
      <c r="AJX1" s="11"/>
      <c r="AJY1" s="11"/>
      <c r="AJZ1" s="11"/>
      <c r="AKA1" s="11"/>
      <c r="AKB1" s="11"/>
      <c r="AKC1" s="11"/>
      <c r="AKD1" s="11"/>
      <c r="AKE1" s="11"/>
      <c r="AKF1" s="11"/>
      <c r="AKG1" s="11"/>
      <c r="AKH1" s="11"/>
      <c r="AKI1" s="11"/>
      <c r="AKJ1" s="11"/>
      <c r="AKK1" s="11"/>
      <c r="AKL1" s="11"/>
      <c r="AKM1" s="11"/>
      <c r="AKN1" s="11"/>
      <c r="AKO1" s="11"/>
      <c r="AKP1" s="11"/>
      <c r="AKQ1" s="11"/>
      <c r="AKR1" s="11"/>
      <c r="AKS1" s="11"/>
      <c r="AKT1" s="11"/>
      <c r="AKU1" s="11"/>
      <c r="AKV1" s="11"/>
      <c r="AKW1" s="11"/>
      <c r="AKX1" s="11"/>
      <c r="AKY1" s="11"/>
      <c r="AKZ1" s="11"/>
      <c r="ALA1" s="11"/>
      <c r="ALB1" s="11"/>
      <c r="ALC1" s="11"/>
      <c r="ALD1" s="11"/>
      <c r="ALE1" s="11"/>
      <c r="ALF1" s="11"/>
      <c r="ALG1" s="11"/>
      <c r="ALH1" s="11"/>
      <c r="ALI1" s="11"/>
      <c r="ALJ1" s="11"/>
      <c r="ALK1" s="11"/>
      <c r="ALL1" s="11"/>
      <c r="ALM1" s="11"/>
      <c r="ALN1" s="11"/>
      <c r="ALO1" s="11"/>
      <c r="ALP1" s="11"/>
      <c r="ALQ1" s="11"/>
      <c r="ALR1" s="11"/>
      <c r="ALS1" s="11"/>
      <c r="ALT1" s="11"/>
      <c r="ALU1" s="11"/>
      <c r="ALV1" s="11"/>
      <c r="ALW1" s="11"/>
      <c r="ALX1" s="11"/>
      <c r="ALY1" s="11"/>
      <c r="ALZ1" s="11"/>
      <c r="AMA1" s="11"/>
      <c r="AMB1" s="11"/>
      <c r="AMC1" s="11"/>
      <c r="AMD1" s="11"/>
      <c r="AME1" s="11"/>
      <c r="AMF1" s="11"/>
      <c r="AMG1" s="11"/>
      <c r="AMH1" s="11"/>
      <c r="AMI1" s="11"/>
      <c r="AMJ1" s="11"/>
      <c r="AMK1" s="11"/>
      <c r="AML1" s="11"/>
      <c r="AMM1" s="11"/>
      <c r="AMN1" s="11"/>
      <c r="AMO1" s="11"/>
      <c r="AMP1" s="11"/>
      <c r="AMQ1" s="11"/>
      <c r="AMR1" s="11"/>
      <c r="AMS1" s="11"/>
      <c r="AMT1" s="11"/>
      <c r="AMU1" s="11"/>
      <c r="AMV1" s="11"/>
      <c r="AMW1" s="11"/>
      <c r="AMX1" s="11"/>
      <c r="AMY1" s="11"/>
      <c r="AMZ1" s="11"/>
      <c r="ANA1" s="11"/>
      <c r="ANB1" s="11"/>
      <c r="ANC1" s="11"/>
      <c r="AND1" s="11"/>
      <c r="ANE1" s="11"/>
      <c r="ANF1" s="11"/>
      <c r="ANG1" s="11"/>
      <c r="ANH1" s="11"/>
      <c r="ANI1" s="11"/>
      <c r="ANJ1" s="11"/>
      <c r="ANK1" s="11"/>
      <c r="ANL1" s="11"/>
      <c r="ANM1" s="11"/>
      <c r="ANN1" s="11"/>
      <c r="ANO1" s="11"/>
      <c r="ANP1" s="11"/>
      <c r="ANQ1" s="11"/>
      <c r="ANR1" s="11"/>
      <c r="ANS1" s="11"/>
      <c r="ANT1" s="11"/>
      <c r="ANU1" s="11"/>
      <c r="ANV1" s="11"/>
      <c r="ANW1" s="11"/>
      <c r="ANX1" s="11"/>
      <c r="ANY1" s="11"/>
      <c r="ANZ1" s="11"/>
      <c r="AOA1" s="11"/>
      <c r="AOB1" s="11"/>
      <c r="AOC1" s="11"/>
      <c r="AOD1" s="11"/>
      <c r="AOE1" s="11"/>
      <c r="AOF1" s="11"/>
      <c r="AOG1" s="11"/>
      <c r="AOH1" s="11"/>
      <c r="AOI1" s="11"/>
      <c r="AOJ1" s="11"/>
      <c r="AOK1" s="11"/>
      <c r="AOL1" s="11"/>
      <c r="AOM1" s="11"/>
      <c r="AON1" s="11"/>
      <c r="AOO1" s="11"/>
      <c r="AOP1" s="11"/>
      <c r="AOQ1" s="11"/>
      <c r="AOR1" s="11"/>
      <c r="AOS1" s="11"/>
      <c r="AOT1" s="11"/>
      <c r="AOU1" s="11"/>
      <c r="AOV1" s="11"/>
      <c r="AOW1" s="11"/>
      <c r="AOX1" s="11"/>
      <c r="AOY1" s="11"/>
      <c r="AOZ1" s="11"/>
      <c r="APA1" s="11"/>
      <c r="APB1" s="11"/>
      <c r="APC1" s="11"/>
      <c r="APD1" s="11"/>
      <c r="APE1" s="11"/>
      <c r="APF1" s="11"/>
      <c r="APG1" s="11"/>
      <c r="APH1" s="11"/>
      <c r="API1" s="11"/>
      <c r="APJ1" s="11"/>
      <c r="APK1" s="11"/>
      <c r="APL1" s="11"/>
      <c r="APM1" s="11"/>
      <c r="APN1" s="11"/>
      <c r="APO1" s="11"/>
      <c r="APP1" s="11"/>
      <c r="APQ1" s="11"/>
      <c r="APR1" s="11"/>
      <c r="APS1" s="11"/>
      <c r="APT1" s="11"/>
      <c r="APU1" s="11"/>
      <c r="APV1" s="11"/>
      <c r="APW1" s="11"/>
      <c r="APX1" s="11"/>
      <c r="APY1" s="11"/>
      <c r="APZ1" s="11"/>
      <c r="AQA1" s="11"/>
      <c r="AQB1" s="11"/>
      <c r="AQC1" s="11"/>
      <c r="AQD1" s="11"/>
      <c r="AQE1" s="11"/>
      <c r="AQF1" s="11"/>
      <c r="AQG1" s="11"/>
      <c r="AQH1" s="11"/>
      <c r="AQI1" s="11"/>
      <c r="AQJ1" s="11"/>
      <c r="AQK1" s="11"/>
      <c r="AQL1" s="11"/>
      <c r="AQM1" s="11"/>
      <c r="AQN1" s="11"/>
      <c r="AQO1" s="11"/>
      <c r="AQP1" s="11"/>
      <c r="AQQ1" s="11"/>
      <c r="AQR1" s="11"/>
      <c r="AQS1" s="11"/>
      <c r="AQT1" s="11"/>
      <c r="AQU1" s="11"/>
      <c r="AQV1" s="11"/>
      <c r="AQW1" s="11"/>
      <c r="AQX1" s="11"/>
      <c r="AQY1" s="11"/>
      <c r="AQZ1" s="11"/>
      <c r="ARA1" s="11"/>
      <c r="ARB1" s="11"/>
      <c r="ARC1" s="11"/>
      <c r="ARD1" s="11"/>
      <c r="ARE1" s="11"/>
      <c r="ARF1" s="11"/>
      <c r="ARG1" s="11"/>
      <c r="ARH1" s="11"/>
      <c r="ARI1" s="11"/>
      <c r="ARJ1" s="11"/>
      <c r="ARK1" s="11"/>
      <c r="ARL1" s="11"/>
      <c r="ARM1" s="11"/>
      <c r="ARN1" s="11"/>
      <c r="ARO1" s="11"/>
      <c r="ARP1" s="11"/>
      <c r="ARQ1" s="11"/>
      <c r="ARR1" s="11"/>
      <c r="ARS1" s="11"/>
      <c r="ART1" s="11"/>
      <c r="ARU1" s="11"/>
      <c r="ARV1" s="11"/>
      <c r="ARW1" s="11"/>
      <c r="ARX1" s="11"/>
      <c r="ARY1" s="11"/>
      <c r="ARZ1" s="11"/>
      <c r="ASA1" s="11"/>
      <c r="ASB1" s="11"/>
      <c r="ASC1" s="11"/>
      <c r="ASD1" s="11"/>
      <c r="ASE1" s="11"/>
      <c r="ASF1" s="11"/>
      <c r="ASG1" s="11"/>
      <c r="ASH1" s="11"/>
      <c r="ASI1" s="11"/>
      <c r="ASJ1" s="11"/>
      <c r="ASK1" s="11"/>
      <c r="ASL1" s="11"/>
      <c r="ASM1" s="11"/>
      <c r="ASN1" s="11"/>
      <c r="ASO1" s="11"/>
      <c r="ASP1" s="11"/>
      <c r="ASQ1" s="11"/>
      <c r="ASR1" s="11"/>
      <c r="ASS1" s="11"/>
      <c r="AST1" s="11"/>
      <c r="ASU1" s="11"/>
      <c r="ASV1" s="11"/>
      <c r="ASW1" s="11"/>
      <c r="ASX1" s="11"/>
      <c r="ASY1" s="11"/>
      <c r="ASZ1" s="11"/>
      <c r="ATA1" s="11"/>
      <c r="ATB1" s="11"/>
      <c r="ATC1" s="11"/>
      <c r="ATD1" s="11"/>
      <c r="ATE1" s="11"/>
      <c r="ATF1" s="11"/>
      <c r="ATG1" s="11"/>
      <c r="ATH1" s="11"/>
      <c r="ATI1" s="11"/>
      <c r="ATJ1" s="11"/>
      <c r="ATK1" s="11"/>
      <c r="ATL1" s="11"/>
      <c r="ATM1" s="11"/>
      <c r="ATN1" s="11"/>
      <c r="ATO1" s="11"/>
      <c r="ATP1" s="11"/>
      <c r="ATQ1" s="11"/>
      <c r="ATR1" s="11"/>
      <c r="ATS1" s="11"/>
      <c r="ATT1" s="11"/>
      <c r="ATU1" s="11"/>
      <c r="ATV1" s="11"/>
      <c r="ATW1" s="11"/>
      <c r="ATX1" s="11"/>
      <c r="ATY1" s="11"/>
      <c r="ATZ1" s="11"/>
      <c r="AUA1" s="11"/>
      <c r="AUB1" s="11"/>
      <c r="AUC1" s="11"/>
      <c r="AUD1" s="11"/>
      <c r="AUE1" s="11"/>
      <c r="AUF1" s="11"/>
      <c r="AUG1" s="11"/>
      <c r="AUH1" s="11"/>
      <c r="AUI1" s="11"/>
      <c r="AUJ1" s="11"/>
      <c r="AUK1" s="11"/>
      <c r="AUL1" s="11"/>
      <c r="AUM1" s="11"/>
      <c r="AUN1" s="11"/>
      <c r="AUO1" s="11"/>
      <c r="AUP1" s="11"/>
      <c r="AUQ1" s="11"/>
      <c r="AUR1" s="11"/>
      <c r="AUS1" s="11"/>
      <c r="AUT1" s="11"/>
      <c r="AUU1" s="11"/>
      <c r="AUV1" s="11"/>
      <c r="AUW1" s="11"/>
      <c r="AUX1" s="11"/>
      <c r="AUY1" s="11"/>
      <c r="AUZ1" s="11"/>
      <c r="AVA1" s="11"/>
      <c r="AVB1" s="11"/>
      <c r="AVC1" s="11"/>
      <c r="AVD1" s="11"/>
      <c r="AVE1" s="11"/>
      <c r="AVF1" s="11"/>
      <c r="AVG1" s="11"/>
      <c r="AVH1" s="11"/>
      <c r="AVI1" s="11"/>
      <c r="AVJ1" s="11"/>
      <c r="AVK1" s="11"/>
      <c r="AVL1" s="11"/>
      <c r="AVM1" s="11"/>
      <c r="AVN1" s="11"/>
      <c r="AVO1" s="11"/>
      <c r="AVP1" s="11"/>
      <c r="AVQ1" s="11"/>
      <c r="AVR1" s="11"/>
      <c r="AVS1" s="11"/>
      <c r="AVT1" s="11"/>
      <c r="AVU1" s="11"/>
      <c r="AVV1" s="11"/>
      <c r="AVW1" s="11"/>
      <c r="AVX1" s="11"/>
      <c r="AVY1" s="11"/>
      <c r="AVZ1" s="11"/>
      <c r="AWA1" s="11"/>
      <c r="AWB1" s="11"/>
      <c r="AWC1" s="11"/>
      <c r="AWD1" s="11"/>
      <c r="AWE1" s="11"/>
      <c r="AWF1" s="11"/>
      <c r="AWG1" s="11"/>
      <c r="AWH1" s="11"/>
      <c r="AWI1" s="11"/>
      <c r="AWJ1" s="11"/>
      <c r="AWK1" s="11"/>
      <c r="AWL1" s="11"/>
      <c r="AWM1" s="11"/>
      <c r="AWN1" s="11"/>
      <c r="AWO1" s="11"/>
      <c r="AWP1" s="11"/>
      <c r="AWQ1" s="11"/>
      <c r="AWR1" s="11"/>
      <c r="AWS1" s="11"/>
      <c r="AWT1" s="11"/>
      <c r="AWU1" s="11"/>
      <c r="AWV1" s="11"/>
      <c r="AWW1" s="11"/>
      <c r="AWX1" s="11"/>
      <c r="AWY1" s="11"/>
      <c r="AWZ1" s="11"/>
      <c r="AXA1" s="11"/>
      <c r="AXB1" s="11"/>
      <c r="AXC1" s="11"/>
      <c r="AXD1" s="11"/>
      <c r="AXE1" s="11"/>
      <c r="AXF1" s="11"/>
      <c r="AXG1" s="11"/>
      <c r="AXH1" s="11"/>
      <c r="AXI1" s="11"/>
      <c r="AXJ1" s="11"/>
      <c r="AXK1" s="11"/>
      <c r="AXL1" s="11"/>
      <c r="AXM1" s="11"/>
      <c r="AXN1" s="11"/>
      <c r="AXO1" s="11"/>
      <c r="AXP1" s="11"/>
      <c r="AXQ1" s="11"/>
      <c r="AXR1" s="11"/>
      <c r="AXS1" s="11"/>
      <c r="AXT1" s="11"/>
      <c r="AXU1" s="11"/>
      <c r="AXV1" s="11"/>
      <c r="AXW1" s="11"/>
      <c r="AXX1" s="11"/>
      <c r="AXY1" s="11"/>
      <c r="AXZ1" s="11"/>
      <c r="AYA1" s="11"/>
      <c r="AYB1" s="11"/>
      <c r="AYC1" s="11"/>
      <c r="AYD1" s="11"/>
      <c r="AYE1" s="11"/>
      <c r="AYF1" s="11"/>
      <c r="AYG1" s="11"/>
      <c r="AYH1" s="11"/>
      <c r="AYI1" s="11"/>
      <c r="AYJ1" s="11"/>
      <c r="AYK1" s="11"/>
      <c r="AYL1" s="11"/>
      <c r="AYM1" s="11"/>
      <c r="AYN1" s="11"/>
      <c r="AYO1" s="11"/>
      <c r="AYP1" s="11"/>
      <c r="AYQ1" s="11"/>
      <c r="AYR1" s="11"/>
      <c r="AYS1" s="11"/>
      <c r="AYT1" s="11"/>
      <c r="AYU1" s="11"/>
      <c r="AYV1" s="11"/>
      <c r="AYW1" s="11"/>
      <c r="AYX1" s="11"/>
      <c r="AYY1" s="11"/>
      <c r="AYZ1" s="11"/>
      <c r="AZA1" s="11"/>
      <c r="AZB1" s="11"/>
      <c r="AZC1" s="11"/>
      <c r="AZD1" s="11"/>
      <c r="AZE1" s="11"/>
      <c r="AZF1" s="11"/>
      <c r="AZG1" s="11"/>
      <c r="AZH1" s="11"/>
      <c r="AZI1" s="11"/>
      <c r="AZJ1" s="11"/>
      <c r="AZK1" s="11"/>
      <c r="AZL1" s="11"/>
      <c r="AZM1" s="11"/>
      <c r="AZN1" s="11"/>
      <c r="AZO1" s="11"/>
      <c r="AZP1" s="11"/>
      <c r="AZQ1" s="11"/>
      <c r="AZR1" s="11"/>
      <c r="AZS1" s="11"/>
      <c r="AZT1" s="11"/>
      <c r="AZU1" s="11"/>
      <c r="AZV1" s="11"/>
      <c r="AZW1" s="11"/>
      <c r="AZX1" s="11"/>
      <c r="AZY1" s="11"/>
      <c r="AZZ1" s="11"/>
      <c r="BAA1" s="11"/>
      <c r="BAB1" s="11"/>
      <c r="BAC1" s="11"/>
      <c r="BAD1" s="11"/>
      <c r="BAE1" s="11"/>
      <c r="BAF1" s="11"/>
      <c r="BAG1" s="11"/>
      <c r="BAH1" s="11"/>
      <c r="BAI1" s="11"/>
      <c r="BAJ1" s="11"/>
      <c r="BAK1" s="11"/>
      <c r="BAL1" s="11"/>
      <c r="BAM1" s="11"/>
      <c r="BAN1" s="11"/>
      <c r="BAO1" s="11"/>
      <c r="BAP1" s="11"/>
      <c r="BAQ1" s="11"/>
      <c r="BAR1" s="11"/>
      <c r="BAS1" s="11"/>
      <c r="BAT1" s="11"/>
      <c r="BAU1" s="11"/>
      <c r="BAV1" s="11"/>
      <c r="BAW1" s="11"/>
      <c r="BAX1" s="11"/>
      <c r="BAY1" s="11"/>
      <c r="BAZ1" s="11"/>
      <c r="BBA1" s="11"/>
      <c r="BBB1" s="11"/>
      <c r="BBC1" s="11"/>
      <c r="BBD1" s="11"/>
      <c r="BBE1" s="11"/>
      <c r="BBF1" s="11"/>
      <c r="BBG1" s="11"/>
      <c r="BBH1" s="11"/>
      <c r="BBI1" s="11"/>
      <c r="BBJ1" s="11"/>
      <c r="BBK1" s="11"/>
      <c r="BBL1" s="11"/>
      <c r="BBM1" s="11"/>
      <c r="BBN1" s="11"/>
      <c r="BBO1" s="11"/>
      <c r="BBP1" s="11"/>
      <c r="BBQ1" s="11"/>
      <c r="BBR1" s="11"/>
      <c r="BBS1" s="11"/>
      <c r="BBT1" s="11"/>
      <c r="BBU1" s="11"/>
      <c r="BBV1" s="11"/>
      <c r="BBW1" s="11"/>
      <c r="BBX1" s="11"/>
      <c r="BBY1" s="11"/>
      <c r="BBZ1" s="11"/>
      <c r="BCA1" s="11"/>
      <c r="BCB1" s="11"/>
      <c r="BCC1" s="11"/>
      <c r="BCD1" s="11"/>
      <c r="BCE1" s="11"/>
      <c r="BCF1" s="11"/>
      <c r="BCG1" s="11"/>
      <c r="BCH1" s="11"/>
      <c r="BCI1" s="11"/>
      <c r="BCJ1" s="11"/>
      <c r="BCK1" s="11"/>
      <c r="BCL1" s="11"/>
      <c r="BCM1" s="11"/>
      <c r="BCN1" s="11"/>
      <c r="BCO1" s="11"/>
      <c r="BCP1" s="11"/>
      <c r="BCQ1" s="11"/>
      <c r="BCR1" s="11"/>
      <c r="BCS1" s="11"/>
      <c r="BCT1" s="11"/>
      <c r="BCU1" s="11"/>
      <c r="BCV1" s="11"/>
      <c r="BCW1" s="11"/>
      <c r="BCX1" s="11"/>
      <c r="BCY1" s="11"/>
      <c r="BCZ1" s="11"/>
      <c r="BDA1" s="11"/>
      <c r="BDB1" s="11"/>
      <c r="BDC1" s="11"/>
      <c r="BDD1" s="11"/>
      <c r="BDE1" s="11"/>
      <c r="BDF1" s="11"/>
      <c r="BDG1" s="11"/>
      <c r="BDH1" s="11"/>
      <c r="BDI1" s="11"/>
      <c r="BDJ1" s="11"/>
      <c r="BDK1" s="11"/>
      <c r="BDL1" s="11"/>
      <c r="BDM1" s="11"/>
      <c r="BDN1" s="11"/>
      <c r="BDO1" s="11"/>
      <c r="BDP1" s="11"/>
      <c r="BDQ1" s="11"/>
      <c r="BDR1" s="11"/>
      <c r="BDS1" s="11"/>
      <c r="BDT1" s="11"/>
      <c r="BDU1" s="11"/>
      <c r="BDV1" s="11"/>
      <c r="BDW1" s="11"/>
      <c r="BDX1" s="11"/>
      <c r="BDY1" s="11"/>
      <c r="BDZ1" s="11"/>
      <c r="BEA1" s="11"/>
      <c r="BEB1" s="11"/>
      <c r="BEC1" s="11"/>
      <c r="BED1" s="11"/>
      <c r="BEE1" s="11"/>
      <c r="BEF1" s="11"/>
      <c r="BEG1" s="11"/>
      <c r="BEH1" s="11"/>
      <c r="BEI1" s="11"/>
      <c r="BEJ1" s="11"/>
      <c r="BEK1" s="11"/>
      <c r="BEL1" s="11"/>
      <c r="BEM1" s="11"/>
      <c r="BEN1" s="11"/>
      <c r="BEO1" s="11"/>
      <c r="BEP1" s="11"/>
      <c r="BEQ1" s="11"/>
      <c r="BER1" s="11"/>
      <c r="BES1" s="11"/>
      <c r="BET1" s="11"/>
      <c r="BEU1" s="11"/>
      <c r="BEV1" s="11"/>
      <c r="BEW1" s="11"/>
      <c r="BEX1" s="11"/>
      <c r="BEY1" s="11"/>
      <c r="BEZ1" s="11"/>
      <c r="BFA1" s="11"/>
      <c r="BFB1" s="11"/>
      <c r="BFC1" s="11"/>
      <c r="BFD1" s="11"/>
      <c r="BFE1" s="11"/>
      <c r="BFF1" s="11"/>
      <c r="BFG1" s="11"/>
      <c r="BFH1" s="11"/>
      <c r="BFI1" s="11"/>
      <c r="BFJ1" s="11"/>
      <c r="BFK1" s="11"/>
      <c r="BFL1" s="11"/>
      <c r="BFM1" s="11"/>
      <c r="BFN1" s="11"/>
      <c r="BFO1" s="11"/>
      <c r="BFP1" s="11"/>
      <c r="BFQ1" s="11"/>
      <c r="BFR1" s="11"/>
      <c r="BFS1" s="11"/>
      <c r="BFT1" s="11"/>
      <c r="BFU1" s="11"/>
      <c r="BFV1" s="11"/>
      <c r="BFW1" s="11"/>
      <c r="BFX1" s="11"/>
      <c r="BFY1" s="11"/>
      <c r="BFZ1" s="11"/>
      <c r="BGA1" s="11"/>
      <c r="BGB1" s="11"/>
      <c r="BGC1" s="11"/>
      <c r="BGD1" s="11"/>
      <c r="BGE1" s="11"/>
      <c r="BGF1" s="11"/>
      <c r="BGG1" s="11"/>
      <c r="BGH1" s="11"/>
      <c r="BGI1" s="11"/>
      <c r="BGJ1" s="11"/>
      <c r="BGK1" s="11"/>
      <c r="BGL1" s="11"/>
      <c r="BGM1" s="11"/>
      <c r="BGN1" s="11"/>
      <c r="BGO1" s="11"/>
      <c r="BGP1" s="11"/>
      <c r="BGQ1" s="11"/>
      <c r="BGR1" s="11"/>
      <c r="BGS1" s="11"/>
      <c r="BGT1" s="11"/>
      <c r="BGU1" s="11"/>
      <c r="BGV1" s="11"/>
      <c r="BGW1" s="11"/>
      <c r="BGX1" s="11"/>
      <c r="BGY1" s="11"/>
      <c r="BGZ1" s="11"/>
      <c r="BHA1" s="11"/>
      <c r="BHB1" s="11"/>
      <c r="BHC1" s="11"/>
      <c r="BHD1" s="11"/>
      <c r="BHE1" s="11"/>
      <c r="BHF1" s="11"/>
      <c r="BHG1" s="11"/>
      <c r="BHH1" s="11"/>
      <c r="BHI1" s="11"/>
      <c r="BHJ1" s="11"/>
      <c r="BHK1" s="11"/>
      <c r="BHL1" s="11"/>
      <c r="BHM1" s="11"/>
      <c r="BHN1" s="11"/>
      <c r="BHO1" s="11"/>
      <c r="BHP1" s="11"/>
      <c r="BHQ1" s="11"/>
      <c r="BHR1" s="11"/>
      <c r="BHS1" s="11"/>
      <c r="BHT1" s="11"/>
      <c r="BHU1" s="11"/>
      <c r="BHV1" s="11"/>
      <c r="BHW1" s="11"/>
      <c r="BHX1" s="11"/>
      <c r="BHY1" s="11"/>
      <c r="BHZ1" s="11"/>
      <c r="BIA1" s="11"/>
      <c r="BIB1" s="11"/>
      <c r="BIC1" s="11"/>
      <c r="BID1" s="11"/>
      <c r="BIE1" s="11"/>
      <c r="BIF1" s="11"/>
      <c r="BIG1" s="11"/>
      <c r="BIH1" s="11"/>
      <c r="BII1" s="11"/>
      <c r="BIJ1" s="11"/>
      <c r="BIK1" s="11"/>
      <c r="BIL1" s="11"/>
      <c r="BIM1" s="11"/>
      <c r="BIN1" s="11"/>
      <c r="BIO1" s="11"/>
      <c r="BIP1" s="11"/>
      <c r="BIQ1" s="11"/>
      <c r="BIR1" s="11"/>
      <c r="BIS1" s="11"/>
      <c r="BIT1" s="11"/>
      <c r="BIU1" s="11"/>
      <c r="BIV1" s="11"/>
      <c r="BIW1" s="11"/>
      <c r="BIX1" s="11"/>
      <c r="BIY1" s="11"/>
      <c r="BIZ1" s="11"/>
      <c r="BJA1" s="11"/>
      <c r="BJB1" s="11"/>
      <c r="BJC1" s="11"/>
      <c r="BJD1" s="11"/>
      <c r="BJE1" s="11"/>
      <c r="BJF1" s="11"/>
      <c r="BJG1" s="11"/>
      <c r="BJH1" s="11"/>
      <c r="BJI1" s="11"/>
      <c r="BJJ1" s="11"/>
      <c r="BJK1" s="11"/>
      <c r="BJL1" s="11"/>
      <c r="BJM1" s="11"/>
      <c r="BJN1" s="11"/>
      <c r="BJO1" s="11"/>
      <c r="BJP1" s="11"/>
      <c r="BJQ1" s="11"/>
      <c r="BJR1" s="11"/>
      <c r="BJS1" s="11"/>
      <c r="BJT1" s="11"/>
      <c r="BJU1" s="11"/>
      <c r="BJV1" s="11"/>
      <c r="BJW1" s="11"/>
      <c r="BJX1" s="11"/>
      <c r="BJY1" s="11"/>
      <c r="BJZ1" s="11"/>
      <c r="BKA1" s="11"/>
      <c r="BKB1" s="11"/>
      <c r="BKC1" s="11"/>
      <c r="BKD1" s="11"/>
      <c r="BKE1" s="11"/>
      <c r="BKF1" s="11"/>
      <c r="BKG1" s="11"/>
      <c r="BKH1" s="11"/>
      <c r="BKI1" s="11"/>
      <c r="BKJ1" s="11"/>
      <c r="BKK1" s="11"/>
      <c r="BKL1" s="11"/>
      <c r="BKM1" s="11"/>
      <c r="BKN1" s="11"/>
      <c r="BKO1" s="11"/>
      <c r="BKP1" s="11"/>
      <c r="BKQ1" s="11"/>
      <c r="BKR1" s="11"/>
      <c r="BKS1" s="11"/>
      <c r="BKT1" s="11"/>
      <c r="BKU1" s="11"/>
      <c r="BKV1" s="11"/>
      <c r="BKW1" s="11"/>
      <c r="BKX1" s="11"/>
      <c r="BKY1" s="11"/>
      <c r="BKZ1" s="11"/>
      <c r="BLA1" s="11"/>
      <c r="BLB1" s="11"/>
      <c r="BLC1" s="11"/>
      <c r="BLD1" s="11"/>
      <c r="BLE1" s="11"/>
      <c r="BLF1" s="11"/>
      <c r="BLG1" s="11"/>
      <c r="BLH1" s="11"/>
      <c r="BLI1" s="11"/>
      <c r="BLJ1" s="11"/>
      <c r="BLK1" s="11"/>
      <c r="BLL1" s="11"/>
      <c r="BLM1" s="11"/>
      <c r="BLN1" s="11"/>
      <c r="BLO1" s="11"/>
      <c r="BLP1" s="11"/>
      <c r="BLQ1" s="11"/>
      <c r="BLR1" s="11"/>
      <c r="BLS1" s="11"/>
      <c r="BLT1" s="11"/>
      <c r="BLU1" s="11"/>
      <c r="BLV1" s="11"/>
      <c r="BLW1" s="11"/>
      <c r="BLX1" s="11"/>
      <c r="BLY1" s="11"/>
      <c r="BLZ1" s="11"/>
      <c r="BMA1" s="11"/>
      <c r="BMB1" s="11"/>
      <c r="BMC1" s="11"/>
      <c r="BMD1" s="11"/>
      <c r="BME1" s="11"/>
      <c r="BMF1" s="11"/>
      <c r="BMG1" s="11"/>
      <c r="BMH1" s="11"/>
      <c r="BMI1" s="11"/>
      <c r="BMJ1" s="11"/>
      <c r="BMK1" s="11"/>
      <c r="BML1" s="11"/>
      <c r="BMM1" s="11"/>
      <c r="BMN1" s="11"/>
      <c r="BMO1" s="11"/>
      <c r="BMP1" s="11"/>
      <c r="BMQ1" s="11"/>
      <c r="BMR1" s="11"/>
      <c r="BMS1" s="11"/>
      <c r="BMT1" s="11"/>
      <c r="BMU1" s="11"/>
      <c r="BMV1" s="11"/>
      <c r="BMW1" s="11"/>
      <c r="BMX1" s="11"/>
      <c r="BMY1" s="11"/>
      <c r="BMZ1" s="11"/>
      <c r="BNA1" s="11"/>
      <c r="BNB1" s="11"/>
      <c r="BNC1" s="11"/>
      <c r="BND1" s="11"/>
      <c r="BNE1" s="11"/>
      <c r="BNF1" s="11"/>
      <c r="BNG1" s="11"/>
      <c r="BNH1" s="11"/>
      <c r="BNI1" s="11"/>
      <c r="BNJ1" s="11"/>
      <c r="BNK1" s="11"/>
      <c r="BNL1" s="11"/>
      <c r="BNM1" s="11"/>
      <c r="BNN1" s="11"/>
      <c r="BNO1" s="11"/>
      <c r="BNP1" s="11"/>
      <c r="BNQ1" s="11"/>
      <c r="BNR1" s="11"/>
      <c r="BNS1" s="11"/>
      <c r="BNT1" s="11"/>
      <c r="BNU1" s="11"/>
      <c r="BNV1" s="11"/>
      <c r="BNW1" s="11"/>
      <c r="BNX1" s="11"/>
      <c r="BNY1" s="11"/>
      <c r="BNZ1" s="11"/>
      <c r="BOA1" s="11"/>
      <c r="BOB1" s="11"/>
      <c r="BOC1" s="11"/>
      <c r="BOD1" s="11"/>
      <c r="BOE1" s="11"/>
      <c r="BOF1" s="11"/>
      <c r="BOG1" s="11"/>
      <c r="BOH1" s="11"/>
      <c r="BOI1" s="11"/>
      <c r="BOJ1" s="11"/>
      <c r="BOK1" s="11"/>
      <c r="BOL1" s="11"/>
      <c r="BOM1" s="11"/>
      <c r="BON1" s="11"/>
      <c r="BOO1" s="11"/>
      <c r="BOP1" s="11"/>
      <c r="BOQ1" s="11"/>
      <c r="BOR1" s="11"/>
      <c r="BOS1" s="11"/>
      <c r="BOT1" s="11"/>
      <c r="BOU1" s="11"/>
      <c r="BOV1" s="11"/>
      <c r="BOW1" s="11"/>
      <c r="BOX1" s="11"/>
      <c r="BOY1" s="11"/>
      <c r="BOZ1" s="11"/>
      <c r="BPA1" s="11"/>
      <c r="BPB1" s="11"/>
      <c r="BPC1" s="11"/>
      <c r="BPD1" s="11"/>
      <c r="BPE1" s="11"/>
      <c r="BPF1" s="11"/>
      <c r="BPG1" s="11"/>
      <c r="BPH1" s="11"/>
      <c r="BPI1" s="11"/>
      <c r="BPJ1" s="11"/>
      <c r="BPK1" s="11"/>
      <c r="BPL1" s="11"/>
      <c r="BPM1" s="11"/>
      <c r="BPN1" s="11"/>
      <c r="BPO1" s="11"/>
      <c r="BPP1" s="11"/>
      <c r="BPQ1" s="11"/>
      <c r="BPR1" s="11"/>
      <c r="BPS1" s="11"/>
      <c r="BPT1" s="11"/>
      <c r="BPU1" s="11"/>
      <c r="BPV1" s="11"/>
      <c r="BPW1" s="11"/>
      <c r="BPX1" s="11"/>
      <c r="BPY1" s="11"/>
      <c r="BPZ1" s="11"/>
      <c r="BQA1" s="11"/>
      <c r="BQB1" s="11"/>
      <c r="BQC1" s="11"/>
      <c r="BQD1" s="11"/>
      <c r="BQE1" s="11"/>
      <c r="BQF1" s="11"/>
      <c r="BQG1" s="11"/>
      <c r="BQH1" s="11"/>
      <c r="BQI1" s="11"/>
      <c r="BQJ1" s="11"/>
      <c r="BQK1" s="11"/>
      <c r="BQL1" s="11"/>
      <c r="BQM1" s="11"/>
      <c r="BQN1" s="11"/>
      <c r="BQO1" s="11"/>
      <c r="BQP1" s="11"/>
      <c r="BQQ1" s="11"/>
      <c r="BQR1" s="11"/>
      <c r="BQS1" s="11"/>
      <c r="BQT1" s="11"/>
      <c r="BQU1" s="11"/>
      <c r="BQV1" s="11"/>
      <c r="BQW1" s="11"/>
      <c r="BQX1" s="11"/>
      <c r="BQY1" s="11"/>
      <c r="BQZ1" s="11"/>
      <c r="BRA1" s="11"/>
      <c r="BRB1" s="11"/>
      <c r="BRC1" s="11"/>
      <c r="BRD1" s="11"/>
      <c r="BRE1" s="11"/>
      <c r="BRF1" s="11"/>
      <c r="BRG1" s="11"/>
      <c r="BRH1" s="11"/>
      <c r="BRI1" s="11"/>
      <c r="BRJ1" s="11"/>
      <c r="BRK1" s="11"/>
      <c r="BRL1" s="11"/>
      <c r="BRM1" s="11"/>
      <c r="BRN1" s="11"/>
      <c r="BRO1" s="11"/>
      <c r="BRP1" s="11"/>
      <c r="BRQ1" s="11"/>
      <c r="BRR1" s="11"/>
      <c r="BRS1" s="11"/>
      <c r="BRT1" s="11"/>
      <c r="BRU1" s="11"/>
      <c r="BRV1" s="11"/>
      <c r="BRW1" s="11"/>
      <c r="BRX1" s="11"/>
      <c r="BRY1" s="11"/>
      <c r="BRZ1" s="11"/>
      <c r="BSA1" s="11"/>
      <c r="BSB1" s="11"/>
      <c r="BSC1" s="11"/>
      <c r="BSD1" s="11"/>
      <c r="BSE1" s="11"/>
      <c r="BSF1" s="11"/>
      <c r="BSG1" s="11"/>
      <c r="BSH1" s="11"/>
      <c r="BSI1" s="11"/>
      <c r="BSJ1" s="11"/>
      <c r="BSK1" s="11"/>
      <c r="BSL1" s="11"/>
      <c r="BSM1" s="11"/>
      <c r="BSN1" s="11"/>
      <c r="BSO1" s="11"/>
      <c r="BSP1" s="11"/>
      <c r="BSQ1" s="11"/>
      <c r="BSR1" s="11"/>
      <c r="BSS1" s="11"/>
      <c r="BST1" s="11"/>
      <c r="BSU1" s="11"/>
      <c r="BSV1" s="11"/>
      <c r="BSW1" s="11"/>
      <c r="BSX1" s="11"/>
      <c r="BSY1" s="11"/>
      <c r="BSZ1" s="11"/>
      <c r="BTA1" s="11"/>
      <c r="BTB1" s="11"/>
      <c r="BTC1" s="11"/>
      <c r="BTD1" s="11"/>
      <c r="BTE1" s="11"/>
      <c r="BTF1" s="11"/>
      <c r="BTG1" s="11"/>
      <c r="BTH1" s="11"/>
      <c r="BTI1" s="11"/>
      <c r="BTJ1" s="11"/>
      <c r="BTK1" s="11"/>
      <c r="BTL1" s="11"/>
      <c r="BTM1" s="11"/>
      <c r="BTN1" s="11"/>
      <c r="BTO1" s="11"/>
      <c r="BTP1" s="11"/>
      <c r="BTQ1" s="11"/>
      <c r="BTR1" s="11"/>
      <c r="BTS1" s="11"/>
      <c r="BTT1" s="11"/>
      <c r="BTU1" s="11"/>
      <c r="BTV1" s="11"/>
      <c r="BTW1" s="11"/>
      <c r="BTX1" s="11"/>
      <c r="BTY1" s="11"/>
      <c r="BTZ1" s="11"/>
      <c r="BUA1" s="11"/>
      <c r="BUB1" s="11"/>
      <c r="BUC1" s="11"/>
      <c r="BUD1" s="11"/>
      <c r="BUE1" s="11"/>
      <c r="BUF1" s="11"/>
      <c r="BUG1" s="11"/>
      <c r="BUH1" s="11"/>
      <c r="BUI1" s="11"/>
      <c r="BUJ1" s="11"/>
      <c r="BUK1" s="11"/>
      <c r="BUL1" s="11"/>
      <c r="BUM1" s="11"/>
      <c r="BUN1" s="11"/>
      <c r="BUO1" s="11"/>
      <c r="BUP1" s="11"/>
      <c r="BUQ1" s="11"/>
      <c r="BUR1" s="11"/>
      <c r="BUS1" s="11"/>
      <c r="BUT1" s="11"/>
      <c r="BUU1" s="11"/>
      <c r="BUV1" s="11"/>
      <c r="BUW1" s="11"/>
      <c r="BUX1" s="11"/>
      <c r="BUY1" s="11"/>
      <c r="BUZ1" s="11"/>
      <c r="BVA1" s="11"/>
      <c r="BVB1" s="11"/>
      <c r="BVC1" s="11"/>
      <c r="BVD1" s="11"/>
      <c r="BVE1" s="11"/>
      <c r="BVF1" s="11"/>
      <c r="BVG1" s="11"/>
      <c r="BVH1" s="11"/>
      <c r="BVI1" s="11"/>
      <c r="BVJ1" s="11"/>
      <c r="BVK1" s="11"/>
      <c r="BVL1" s="11"/>
      <c r="BVM1" s="11"/>
      <c r="BVN1" s="11"/>
      <c r="BVO1" s="11"/>
      <c r="BVP1" s="11"/>
      <c r="BVQ1" s="11"/>
      <c r="BVR1" s="11"/>
      <c r="BVS1" s="11"/>
      <c r="BVT1" s="11"/>
      <c r="BVU1" s="11"/>
      <c r="BVV1" s="11"/>
      <c r="BVW1" s="11"/>
      <c r="BVX1" s="11"/>
      <c r="BVY1" s="11"/>
      <c r="BVZ1" s="11"/>
      <c r="BWA1" s="11"/>
      <c r="BWB1" s="11"/>
      <c r="BWC1" s="11"/>
      <c r="BWD1" s="11"/>
      <c r="BWE1" s="11"/>
      <c r="BWF1" s="11"/>
      <c r="BWG1" s="11"/>
      <c r="BWH1" s="11"/>
      <c r="BWI1" s="11"/>
      <c r="BWJ1" s="11"/>
      <c r="BWK1" s="11"/>
      <c r="BWL1" s="11"/>
      <c r="BWM1" s="11"/>
      <c r="BWN1" s="11"/>
      <c r="BWO1" s="11"/>
      <c r="BWP1" s="11"/>
      <c r="BWQ1" s="11"/>
      <c r="BWR1" s="11"/>
      <c r="BWS1" s="11"/>
      <c r="BWT1" s="11"/>
      <c r="BWU1" s="11"/>
      <c r="BWV1" s="11"/>
      <c r="BWW1" s="11"/>
      <c r="BWX1" s="11"/>
      <c r="BWY1" s="11"/>
      <c r="BWZ1" s="11"/>
      <c r="BXA1" s="11"/>
      <c r="BXB1" s="11"/>
      <c r="BXC1" s="11"/>
      <c r="BXD1" s="11"/>
      <c r="BXE1" s="11"/>
      <c r="BXF1" s="11"/>
      <c r="BXG1" s="11"/>
      <c r="BXH1" s="11"/>
      <c r="BXI1" s="11"/>
      <c r="BXJ1" s="11"/>
      <c r="BXK1" s="11"/>
      <c r="BXL1" s="11"/>
      <c r="BXM1" s="11"/>
      <c r="BXN1" s="11"/>
      <c r="BXO1" s="11"/>
      <c r="BXP1" s="11"/>
      <c r="BXQ1" s="11"/>
      <c r="BXR1" s="11"/>
      <c r="BXS1" s="11"/>
      <c r="BXT1" s="11"/>
      <c r="BXU1" s="11"/>
      <c r="BXV1" s="11"/>
      <c r="BXW1" s="11"/>
      <c r="BXX1" s="11"/>
      <c r="BXY1" s="11"/>
      <c r="BXZ1" s="11"/>
      <c r="BYA1" s="11"/>
      <c r="BYB1" s="11"/>
      <c r="BYC1" s="11"/>
      <c r="BYD1" s="11"/>
      <c r="BYE1" s="11"/>
      <c r="BYF1" s="11"/>
      <c r="BYG1" s="11"/>
      <c r="BYH1" s="11"/>
      <c r="BYI1" s="11"/>
      <c r="BYJ1" s="11"/>
      <c r="BYK1" s="11"/>
      <c r="BYL1" s="11"/>
      <c r="BYM1" s="11"/>
      <c r="BYN1" s="11"/>
      <c r="BYO1" s="11"/>
      <c r="BYP1" s="11"/>
      <c r="BYQ1" s="11"/>
      <c r="BYR1" s="11"/>
      <c r="BYS1" s="11"/>
      <c r="BYT1" s="11"/>
      <c r="BYU1" s="11"/>
      <c r="BYV1" s="11"/>
      <c r="BYW1" s="11"/>
      <c r="BYX1" s="11"/>
      <c r="BYY1" s="11"/>
      <c r="BYZ1" s="11"/>
      <c r="BZA1" s="11"/>
      <c r="BZB1" s="11"/>
      <c r="BZC1" s="11"/>
      <c r="BZD1" s="11"/>
      <c r="BZE1" s="11"/>
      <c r="BZF1" s="11"/>
      <c r="BZG1" s="11"/>
      <c r="BZH1" s="11"/>
      <c r="BZI1" s="11"/>
      <c r="BZJ1" s="11"/>
      <c r="BZK1" s="11"/>
      <c r="BZL1" s="11"/>
      <c r="BZM1" s="11"/>
      <c r="BZN1" s="11"/>
      <c r="BZO1" s="11"/>
      <c r="BZP1" s="11"/>
      <c r="BZQ1" s="11"/>
      <c r="BZR1" s="11"/>
      <c r="BZS1" s="11"/>
      <c r="BZT1" s="11"/>
      <c r="BZU1" s="11"/>
      <c r="BZV1" s="11"/>
      <c r="BZW1" s="11"/>
      <c r="BZX1" s="11"/>
      <c r="BZY1" s="11"/>
      <c r="BZZ1" s="11"/>
      <c r="CAA1" s="11"/>
      <c r="CAB1" s="11"/>
      <c r="CAC1" s="11"/>
      <c r="CAD1" s="11"/>
      <c r="CAE1" s="11"/>
      <c r="CAF1" s="11"/>
      <c r="CAG1" s="11"/>
      <c r="CAH1" s="11"/>
      <c r="CAI1" s="11"/>
      <c r="CAJ1" s="11"/>
      <c r="CAK1" s="11"/>
      <c r="CAL1" s="11"/>
      <c r="CAM1" s="11"/>
      <c r="CAN1" s="11"/>
      <c r="CAO1" s="11"/>
      <c r="CAP1" s="11"/>
      <c r="CAQ1" s="11"/>
      <c r="CAR1" s="11"/>
      <c r="CAS1" s="11"/>
      <c r="CAT1" s="11"/>
      <c r="CAU1" s="11"/>
      <c r="CAV1" s="11"/>
      <c r="CAW1" s="11"/>
      <c r="CAX1" s="11"/>
      <c r="CAY1" s="11"/>
      <c r="CAZ1" s="11"/>
      <c r="CBA1" s="11"/>
      <c r="CBB1" s="11"/>
      <c r="CBC1" s="11"/>
      <c r="CBD1" s="11"/>
      <c r="CBE1" s="11"/>
      <c r="CBF1" s="11"/>
      <c r="CBG1" s="11"/>
      <c r="CBH1" s="11"/>
      <c r="CBI1" s="11"/>
      <c r="CBJ1" s="11"/>
      <c r="CBK1" s="11"/>
      <c r="CBL1" s="11"/>
      <c r="CBM1" s="11"/>
      <c r="CBN1" s="11"/>
      <c r="CBO1" s="11"/>
      <c r="CBP1" s="11"/>
      <c r="CBQ1" s="11"/>
      <c r="CBR1" s="11"/>
      <c r="CBS1" s="11"/>
      <c r="CBT1" s="11"/>
      <c r="CBU1" s="11"/>
      <c r="CBV1" s="11"/>
      <c r="CBW1" s="11"/>
      <c r="CBX1" s="11"/>
      <c r="CBY1" s="11"/>
      <c r="CBZ1" s="11"/>
      <c r="CCA1" s="11"/>
      <c r="CCB1" s="11"/>
      <c r="CCC1" s="11"/>
      <c r="CCD1" s="11"/>
      <c r="CCE1" s="11"/>
      <c r="CCF1" s="11"/>
      <c r="CCG1" s="11"/>
      <c r="CCH1" s="11"/>
      <c r="CCI1" s="11"/>
      <c r="CCJ1" s="11"/>
      <c r="CCK1" s="11"/>
      <c r="CCL1" s="11"/>
      <c r="CCM1" s="11"/>
      <c r="CCN1" s="11"/>
      <c r="CCO1" s="11"/>
      <c r="CCP1" s="11"/>
      <c r="CCQ1" s="11"/>
      <c r="CCR1" s="11"/>
      <c r="CCS1" s="11"/>
      <c r="CCT1" s="11"/>
      <c r="CCU1" s="11"/>
      <c r="CCV1" s="11"/>
      <c r="CCW1" s="11"/>
      <c r="CCX1" s="11"/>
      <c r="CCY1" s="11"/>
      <c r="CCZ1" s="11"/>
      <c r="CDA1" s="11"/>
      <c r="CDB1" s="11"/>
      <c r="CDC1" s="11"/>
      <c r="CDD1" s="11"/>
      <c r="CDE1" s="11"/>
      <c r="CDF1" s="11"/>
      <c r="CDG1" s="11"/>
      <c r="CDH1" s="11"/>
      <c r="CDI1" s="11"/>
      <c r="CDJ1" s="11"/>
      <c r="CDK1" s="11"/>
      <c r="CDL1" s="11"/>
      <c r="CDM1" s="11"/>
      <c r="CDN1" s="11"/>
      <c r="CDO1" s="11"/>
      <c r="CDP1" s="11"/>
      <c r="CDQ1" s="11"/>
      <c r="CDR1" s="11"/>
      <c r="CDS1" s="11"/>
      <c r="CDT1" s="11"/>
      <c r="CDU1" s="11"/>
      <c r="CDV1" s="11"/>
      <c r="CDW1" s="11"/>
      <c r="CDX1" s="11"/>
      <c r="CDY1" s="11"/>
      <c r="CDZ1" s="11"/>
      <c r="CEA1" s="11"/>
      <c r="CEB1" s="11"/>
      <c r="CEC1" s="11"/>
      <c r="CED1" s="11"/>
      <c r="CEE1" s="11"/>
      <c r="CEF1" s="11"/>
      <c r="CEG1" s="11"/>
      <c r="CEH1" s="11"/>
      <c r="CEI1" s="11"/>
      <c r="CEJ1" s="11"/>
      <c r="CEK1" s="11"/>
      <c r="CEL1" s="11"/>
      <c r="CEM1" s="11"/>
      <c r="CEN1" s="11"/>
      <c r="CEO1" s="11"/>
      <c r="CEP1" s="11"/>
      <c r="CEQ1" s="11"/>
      <c r="CER1" s="11"/>
      <c r="CES1" s="11"/>
      <c r="CET1" s="11"/>
      <c r="CEU1" s="11"/>
      <c r="CEV1" s="11"/>
      <c r="CEW1" s="11"/>
      <c r="CEX1" s="11"/>
      <c r="CEY1" s="11"/>
      <c r="CEZ1" s="11"/>
      <c r="CFA1" s="11"/>
      <c r="CFB1" s="11"/>
      <c r="CFC1" s="11"/>
      <c r="CFD1" s="11"/>
      <c r="CFE1" s="11"/>
      <c r="CFF1" s="11"/>
      <c r="CFG1" s="11"/>
      <c r="CFH1" s="11"/>
      <c r="CFI1" s="11"/>
      <c r="CFJ1" s="11"/>
      <c r="CFK1" s="11"/>
      <c r="CFL1" s="11"/>
      <c r="CFM1" s="11"/>
      <c r="CFN1" s="11"/>
      <c r="CFO1" s="11"/>
      <c r="CFP1" s="11"/>
      <c r="CFQ1" s="11"/>
      <c r="CFR1" s="11"/>
      <c r="CFS1" s="11"/>
      <c r="CFT1" s="11"/>
      <c r="CFU1" s="11"/>
      <c r="CFV1" s="11"/>
      <c r="CFW1" s="11"/>
      <c r="CFX1" s="11"/>
      <c r="CFY1" s="11"/>
      <c r="CFZ1" s="11"/>
      <c r="CGA1" s="11"/>
      <c r="CGB1" s="11"/>
      <c r="CGC1" s="11"/>
      <c r="CGD1" s="11"/>
      <c r="CGE1" s="11"/>
      <c r="CGF1" s="11"/>
      <c r="CGG1" s="11"/>
      <c r="CGH1" s="11"/>
      <c r="CGI1" s="11"/>
      <c r="CGJ1" s="11"/>
      <c r="CGK1" s="11"/>
      <c r="CGL1" s="11"/>
      <c r="CGM1" s="11"/>
      <c r="CGN1" s="11"/>
      <c r="CGO1" s="11"/>
      <c r="CGP1" s="11"/>
      <c r="CGQ1" s="11"/>
      <c r="CGR1" s="11"/>
      <c r="CGS1" s="11"/>
      <c r="CGT1" s="11"/>
      <c r="CGU1" s="11"/>
      <c r="CGV1" s="11"/>
      <c r="CGW1" s="11"/>
      <c r="CGX1" s="11"/>
      <c r="CGY1" s="11"/>
      <c r="CGZ1" s="11"/>
      <c r="CHA1" s="11"/>
      <c r="CHB1" s="11"/>
      <c r="CHC1" s="11"/>
      <c r="CHD1" s="11"/>
      <c r="CHE1" s="11"/>
      <c r="CHF1" s="11"/>
      <c r="CHG1" s="11"/>
      <c r="CHH1" s="11"/>
      <c r="CHI1" s="11"/>
      <c r="CHJ1" s="11"/>
      <c r="CHK1" s="11"/>
      <c r="CHL1" s="11"/>
      <c r="CHM1" s="11"/>
      <c r="CHN1" s="11"/>
      <c r="CHO1" s="11"/>
      <c r="CHP1" s="11"/>
      <c r="CHQ1" s="11"/>
      <c r="CHR1" s="11"/>
      <c r="CHS1" s="11"/>
      <c r="CHT1" s="11"/>
      <c r="CHU1" s="11"/>
      <c r="CHV1" s="11"/>
      <c r="CHW1" s="11"/>
      <c r="CHX1" s="11"/>
      <c r="CHY1" s="11"/>
      <c r="CHZ1" s="11"/>
      <c r="CIA1" s="11"/>
      <c r="CIB1" s="11"/>
      <c r="CIC1" s="11"/>
      <c r="CID1" s="11"/>
      <c r="CIE1" s="11"/>
      <c r="CIF1" s="11"/>
      <c r="CIG1" s="11"/>
      <c r="CIH1" s="11"/>
      <c r="CII1" s="11"/>
      <c r="CIJ1" s="11"/>
      <c r="CIK1" s="11"/>
      <c r="CIL1" s="11"/>
      <c r="CIM1" s="11"/>
      <c r="CIN1" s="11"/>
      <c r="CIO1" s="11"/>
      <c r="CIP1" s="11"/>
      <c r="CIQ1" s="11"/>
      <c r="CIR1" s="11"/>
      <c r="CIS1" s="11"/>
      <c r="CIT1" s="11"/>
      <c r="CIU1" s="11"/>
      <c r="CIV1" s="11"/>
      <c r="CIW1" s="11"/>
      <c r="CIX1" s="11"/>
      <c r="CIY1" s="11"/>
      <c r="CIZ1" s="11"/>
      <c r="CJA1" s="11"/>
      <c r="CJB1" s="11"/>
      <c r="CJC1" s="11"/>
      <c r="CJD1" s="11"/>
      <c r="CJE1" s="11"/>
      <c r="CJF1" s="11"/>
      <c r="CJG1" s="11"/>
      <c r="CJH1" s="11"/>
      <c r="CJI1" s="11"/>
      <c r="CJJ1" s="11"/>
      <c r="CJK1" s="11"/>
      <c r="CJL1" s="11"/>
      <c r="CJM1" s="11"/>
      <c r="CJN1" s="11"/>
      <c r="CJO1" s="11"/>
      <c r="CJP1" s="11"/>
      <c r="CJQ1" s="11"/>
      <c r="CJR1" s="11"/>
      <c r="CJS1" s="11"/>
      <c r="CJT1" s="11"/>
      <c r="CJU1" s="11"/>
      <c r="CJV1" s="11"/>
      <c r="CJW1" s="11"/>
      <c r="CJX1" s="11"/>
      <c r="CJY1" s="11"/>
      <c r="CJZ1" s="11"/>
      <c r="CKA1" s="11"/>
      <c r="CKB1" s="11"/>
      <c r="CKC1" s="11"/>
      <c r="CKD1" s="11"/>
      <c r="CKE1" s="11"/>
      <c r="CKF1" s="11"/>
      <c r="CKG1" s="11"/>
      <c r="CKH1" s="11"/>
      <c r="CKI1" s="11"/>
      <c r="CKJ1" s="11"/>
      <c r="CKK1" s="11"/>
      <c r="CKL1" s="11"/>
      <c r="CKM1" s="11"/>
      <c r="CKN1" s="11"/>
      <c r="CKO1" s="11"/>
      <c r="CKP1" s="11"/>
      <c r="CKQ1" s="11"/>
      <c r="CKR1" s="11"/>
      <c r="CKS1" s="11"/>
      <c r="CKT1" s="11"/>
      <c r="CKU1" s="11"/>
      <c r="CKV1" s="11"/>
      <c r="CKW1" s="11"/>
      <c r="CKX1" s="11"/>
      <c r="CKY1" s="11"/>
      <c r="CKZ1" s="11"/>
      <c r="CLA1" s="11"/>
      <c r="CLB1" s="11"/>
      <c r="CLC1" s="11"/>
      <c r="CLD1" s="11"/>
      <c r="CLE1" s="11"/>
      <c r="CLF1" s="11"/>
      <c r="CLG1" s="11"/>
      <c r="CLH1" s="11"/>
      <c r="CLI1" s="11"/>
      <c r="CLJ1" s="11"/>
      <c r="CLK1" s="11"/>
      <c r="CLL1" s="11"/>
      <c r="CLM1" s="11"/>
      <c r="CLN1" s="11"/>
      <c r="CLO1" s="11"/>
      <c r="CLP1" s="11"/>
      <c r="CLQ1" s="11"/>
      <c r="CLR1" s="11"/>
      <c r="CLS1" s="11"/>
      <c r="CLT1" s="11"/>
      <c r="CLU1" s="11"/>
      <c r="CLV1" s="11"/>
      <c r="CLW1" s="11"/>
      <c r="CLX1" s="11"/>
      <c r="CLY1" s="11"/>
      <c r="CLZ1" s="11"/>
      <c r="CMA1" s="11"/>
      <c r="CMB1" s="11"/>
      <c r="CMC1" s="11"/>
      <c r="CMD1" s="11"/>
      <c r="CME1" s="11"/>
      <c r="CMF1" s="11"/>
      <c r="CMG1" s="11"/>
      <c r="CMH1" s="11"/>
      <c r="CMI1" s="11"/>
      <c r="CMJ1" s="11"/>
      <c r="CMK1" s="11"/>
      <c r="CML1" s="11"/>
      <c r="CMM1" s="11"/>
      <c r="CMN1" s="11"/>
      <c r="CMO1" s="11"/>
      <c r="CMP1" s="11"/>
      <c r="CMQ1" s="11"/>
      <c r="CMR1" s="11"/>
      <c r="CMS1" s="11"/>
      <c r="CMT1" s="11"/>
      <c r="CMU1" s="11"/>
      <c r="CMV1" s="11"/>
      <c r="CMW1" s="11"/>
      <c r="CMX1" s="11"/>
      <c r="CMY1" s="11"/>
      <c r="CMZ1" s="11"/>
      <c r="CNA1" s="11"/>
      <c r="CNB1" s="11"/>
      <c r="CNC1" s="11"/>
      <c r="CND1" s="11"/>
      <c r="CNE1" s="11"/>
      <c r="CNF1" s="11"/>
      <c r="CNG1" s="11"/>
      <c r="CNH1" s="11"/>
      <c r="CNI1" s="11"/>
      <c r="CNJ1" s="11"/>
      <c r="CNK1" s="11"/>
      <c r="CNL1" s="11"/>
      <c r="CNM1" s="11"/>
      <c r="CNN1" s="11"/>
      <c r="CNO1" s="11"/>
      <c r="CNP1" s="11"/>
      <c r="CNQ1" s="11"/>
      <c r="CNR1" s="11"/>
      <c r="CNS1" s="11"/>
      <c r="CNT1" s="11"/>
      <c r="CNU1" s="11"/>
      <c r="CNV1" s="11"/>
      <c r="CNW1" s="11"/>
      <c r="CNX1" s="11"/>
      <c r="CNY1" s="11"/>
      <c r="CNZ1" s="11"/>
      <c r="COA1" s="11"/>
      <c r="COB1" s="11"/>
      <c r="COC1" s="11"/>
      <c r="COD1" s="11"/>
      <c r="COE1" s="11"/>
      <c r="COF1" s="11"/>
      <c r="COG1" s="11"/>
      <c r="COH1" s="11"/>
      <c r="COI1" s="11"/>
      <c r="COJ1" s="11"/>
      <c r="COK1" s="11"/>
      <c r="COL1" s="11"/>
      <c r="COM1" s="11"/>
    </row>
    <row r="3" spans="1:2431" s="6" customFormat="1" x14ac:dyDescent="0.35">
      <c r="A3" s="7" t="s">
        <v>27</v>
      </c>
      <c r="B3" s="7" t="s">
        <v>28</v>
      </c>
      <c r="C3" s="7" t="s">
        <v>29</v>
      </c>
      <c r="D3" s="7" t="s">
        <v>42</v>
      </c>
    </row>
    <row r="4" spans="1:2431" x14ac:dyDescent="0.35">
      <c r="A4" s="5">
        <v>2023</v>
      </c>
      <c r="B4" s="5" t="s">
        <v>30</v>
      </c>
      <c r="C4" s="5">
        <v>47</v>
      </c>
      <c r="D4" s="5">
        <v>56685.75</v>
      </c>
    </row>
    <row r="5" spans="1:2431" x14ac:dyDescent="0.35">
      <c r="A5">
        <v>2023</v>
      </c>
      <c r="B5" t="s">
        <v>31</v>
      </c>
      <c r="C5">
        <v>37</v>
      </c>
      <c r="D5">
        <v>40117.660000000003</v>
      </c>
    </row>
    <row r="6" spans="1:2431" x14ac:dyDescent="0.35">
      <c r="A6" s="5">
        <v>2023</v>
      </c>
      <c r="B6" s="5" t="s">
        <v>32</v>
      </c>
      <c r="C6" s="5">
        <v>43</v>
      </c>
      <c r="D6" s="5">
        <v>48609.37</v>
      </c>
    </row>
    <row r="7" spans="1:2431" x14ac:dyDescent="0.35">
      <c r="A7">
        <v>2023</v>
      </c>
      <c r="B7" t="s">
        <v>33</v>
      </c>
      <c r="C7">
        <v>31</v>
      </c>
      <c r="D7">
        <v>27751.71</v>
      </c>
    </row>
    <row r="8" spans="1:2431" x14ac:dyDescent="0.35">
      <c r="A8" s="5">
        <v>2023</v>
      </c>
      <c r="B8" s="5" t="s">
        <v>34</v>
      </c>
      <c r="C8" s="5">
        <v>49</v>
      </c>
      <c r="D8" s="5">
        <v>63836.84</v>
      </c>
    </row>
    <row r="9" spans="1:2431" x14ac:dyDescent="0.35">
      <c r="A9">
        <v>2023</v>
      </c>
      <c r="B9" t="s">
        <v>35</v>
      </c>
      <c r="C9">
        <v>45</v>
      </c>
      <c r="D9">
        <v>49500.19</v>
      </c>
    </row>
    <row r="10" spans="1:2431" x14ac:dyDescent="0.35">
      <c r="A10" s="5">
        <v>2023</v>
      </c>
      <c r="B10" s="5" t="s">
        <v>36</v>
      </c>
      <c r="C10" s="5">
        <v>44</v>
      </c>
      <c r="D10" s="5">
        <v>42820.66</v>
      </c>
    </row>
    <row r="11" spans="1:2431" x14ac:dyDescent="0.35">
      <c r="A11">
        <v>2023</v>
      </c>
      <c r="B11" t="s">
        <v>37</v>
      </c>
      <c r="C11">
        <v>51</v>
      </c>
      <c r="D11">
        <v>54352.14</v>
      </c>
    </row>
    <row r="12" spans="1:2431" x14ac:dyDescent="0.35">
      <c r="A12" s="5">
        <v>2023</v>
      </c>
      <c r="B12" s="5" t="s">
        <v>38</v>
      </c>
      <c r="C12" s="5">
        <v>29</v>
      </c>
      <c r="D12" s="5">
        <v>29526.67</v>
      </c>
    </row>
    <row r="13" spans="1:2431" x14ac:dyDescent="0.35">
      <c r="A13">
        <v>2023</v>
      </c>
      <c r="B13" t="s">
        <v>39</v>
      </c>
      <c r="C13">
        <v>47</v>
      </c>
      <c r="D13">
        <v>52607.85</v>
      </c>
    </row>
    <row r="14" spans="1:2431" x14ac:dyDescent="0.35">
      <c r="A14" s="5">
        <v>2023</v>
      </c>
      <c r="B14" s="5" t="s">
        <v>40</v>
      </c>
      <c r="C14" s="5">
        <v>41</v>
      </c>
      <c r="D14" s="5">
        <v>43079.67</v>
      </c>
    </row>
    <row r="15" spans="1:2431" x14ac:dyDescent="0.35">
      <c r="A15">
        <v>2023</v>
      </c>
      <c r="B15" t="s">
        <v>41</v>
      </c>
      <c r="C15">
        <v>46</v>
      </c>
      <c r="D15">
        <v>43754.73</v>
      </c>
    </row>
    <row r="16" spans="1:2431" x14ac:dyDescent="0.35">
      <c r="A16" s="5">
        <v>2024</v>
      </c>
      <c r="B16" s="5" t="s">
        <v>30</v>
      </c>
      <c r="C16" s="5">
        <v>32</v>
      </c>
      <c r="D16" s="5">
        <v>38528.080000000002</v>
      </c>
    </row>
    <row r="17" spans="1:4" x14ac:dyDescent="0.35">
      <c r="A17">
        <v>2024</v>
      </c>
      <c r="B17" t="s">
        <v>31</v>
      </c>
      <c r="C17">
        <v>32</v>
      </c>
      <c r="D17">
        <v>36909.57</v>
      </c>
    </row>
    <row r="18" spans="1:4" x14ac:dyDescent="0.35">
      <c r="A18" s="5">
        <v>2024</v>
      </c>
      <c r="B18" s="5" t="s">
        <v>32</v>
      </c>
      <c r="C18" s="5">
        <v>36</v>
      </c>
      <c r="D18" s="5">
        <v>36030.9</v>
      </c>
    </row>
    <row r="19" spans="1:4" x14ac:dyDescent="0.35">
      <c r="A19">
        <v>2024</v>
      </c>
      <c r="B19" t="s">
        <v>33</v>
      </c>
      <c r="C19">
        <v>50</v>
      </c>
      <c r="D19">
        <v>49613.14</v>
      </c>
    </row>
    <row r="20" spans="1:4" x14ac:dyDescent="0.35">
      <c r="A20" s="5">
        <v>2024</v>
      </c>
      <c r="B20" s="5" t="s">
        <v>34</v>
      </c>
      <c r="C20" s="5">
        <v>34</v>
      </c>
      <c r="D20" s="5">
        <v>27909.11</v>
      </c>
    </row>
    <row r="21" spans="1:4" x14ac:dyDescent="0.35">
      <c r="A21">
        <v>2024</v>
      </c>
      <c r="B21" t="s">
        <v>35</v>
      </c>
      <c r="C21">
        <v>53</v>
      </c>
      <c r="D21">
        <v>68068.539999999994</v>
      </c>
    </row>
    <row r="22" spans="1:4" x14ac:dyDescent="0.35">
      <c r="A22" s="5">
        <v>2024</v>
      </c>
      <c r="B22" s="5" t="s">
        <v>36</v>
      </c>
      <c r="C22" s="5">
        <v>43</v>
      </c>
      <c r="D22" s="5">
        <v>42963.98</v>
      </c>
    </row>
    <row r="23" spans="1:4" x14ac:dyDescent="0.35">
      <c r="A23">
        <v>2024</v>
      </c>
      <c r="B23" t="s">
        <v>37</v>
      </c>
      <c r="C23">
        <v>28</v>
      </c>
      <c r="D23">
        <v>31991.07</v>
      </c>
    </row>
    <row r="24" spans="1:4" x14ac:dyDescent="0.35">
      <c r="A24" s="5">
        <v>2024</v>
      </c>
      <c r="B24" s="5" t="s">
        <v>38</v>
      </c>
      <c r="C24" s="5">
        <v>44</v>
      </c>
      <c r="D24" s="5">
        <v>39794.980000000003</v>
      </c>
    </row>
    <row r="25" spans="1:4" x14ac:dyDescent="0.35">
      <c r="A25">
        <v>2024</v>
      </c>
      <c r="B25" t="s">
        <v>39</v>
      </c>
      <c r="C25">
        <v>31</v>
      </c>
      <c r="D25">
        <v>37226.97</v>
      </c>
    </row>
    <row r="26" spans="1:4" x14ac:dyDescent="0.35">
      <c r="A26" s="5">
        <v>2024</v>
      </c>
      <c r="B26" s="5" t="s">
        <v>40</v>
      </c>
      <c r="C26" s="5">
        <v>35</v>
      </c>
      <c r="D26" s="5">
        <v>32413.759999999998</v>
      </c>
    </row>
    <row r="27" spans="1:4" x14ac:dyDescent="0.35">
      <c r="A27">
        <v>2024</v>
      </c>
      <c r="B27" t="s">
        <v>41</v>
      </c>
      <c r="C27">
        <v>41</v>
      </c>
      <c r="D27">
        <v>38785.769999999997</v>
      </c>
    </row>
    <row r="28" spans="1:4" x14ac:dyDescent="0.35">
      <c r="A28" s="5">
        <v>2025</v>
      </c>
      <c r="B28" s="5" t="s">
        <v>30</v>
      </c>
      <c r="C28" s="5">
        <v>27</v>
      </c>
      <c r="D28" s="5">
        <v>29099.4</v>
      </c>
    </row>
    <row r="29" spans="1:4" x14ac:dyDescent="0.35">
      <c r="A29">
        <v>2025</v>
      </c>
      <c r="B29" t="s">
        <v>31</v>
      </c>
      <c r="C29">
        <v>37</v>
      </c>
      <c r="D29">
        <v>35317.550000000003</v>
      </c>
    </row>
    <row r="30" spans="1:4" x14ac:dyDescent="0.35">
      <c r="A30" s="5">
        <v>2025</v>
      </c>
      <c r="B30" s="5" t="s">
        <v>32</v>
      </c>
      <c r="C30" s="5">
        <v>49</v>
      </c>
      <c r="D30" s="5">
        <v>39200.660000000003</v>
      </c>
    </row>
    <row r="31" spans="1:4" x14ac:dyDescent="0.35">
      <c r="A31">
        <v>2025</v>
      </c>
      <c r="B31" t="s">
        <v>33</v>
      </c>
      <c r="C31">
        <v>32</v>
      </c>
      <c r="D31">
        <v>31821.200000000001</v>
      </c>
    </row>
    <row r="32" spans="1:4" x14ac:dyDescent="0.35">
      <c r="A32" s="5">
        <v>2025</v>
      </c>
      <c r="B32" s="5" t="s">
        <v>34</v>
      </c>
      <c r="C32" s="5">
        <v>37</v>
      </c>
      <c r="D32" s="5">
        <v>43396.639999999999</v>
      </c>
    </row>
    <row r="33" spans="1:4" x14ac:dyDescent="0.35">
      <c r="A33">
        <v>2025</v>
      </c>
      <c r="B33" t="s">
        <v>35</v>
      </c>
      <c r="C33">
        <v>49</v>
      </c>
      <c r="D33">
        <v>53047.4</v>
      </c>
    </row>
  </sheetData>
  <mergeCells count="1">
    <mergeCell ref="A1:D1"/>
  </mergeCells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C1DC9-2815-4738-AF59-7350D780381E}">
  <dimension ref="A1:E20"/>
  <sheetViews>
    <sheetView tabSelected="1" workbookViewId="0">
      <selection activeCell="B7" sqref="B7"/>
    </sheetView>
  </sheetViews>
  <sheetFormatPr defaultRowHeight="14.5" x14ac:dyDescent="0.35"/>
  <cols>
    <col min="1" max="1" width="18.36328125" customWidth="1"/>
    <col min="2" max="2" width="22.08984375" customWidth="1"/>
    <col min="3" max="3" width="10" customWidth="1"/>
    <col min="4" max="4" width="16" customWidth="1"/>
    <col min="5" max="5" width="32.54296875" customWidth="1"/>
  </cols>
  <sheetData>
    <row r="1" spans="1:5" ht="18.5" x14ac:dyDescent="0.45">
      <c r="A1" s="14" t="s">
        <v>66</v>
      </c>
      <c r="B1" s="15"/>
      <c r="C1" s="15"/>
      <c r="D1" s="15"/>
      <c r="E1" s="15"/>
    </row>
    <row r="3" spans="1:5" x14ac:dyDescent="0.35">
      <c r="A3" s="13" t="s">
        <v>65</v>
      </c>
      <c r="B3" t="s">
        <v>64</v>
      </c>
    </row>
    <row r="4" spans="1:5" x14ac:dyDescent="0.35">
      <c r="A4" s="13" t="s">
        <v>63</v>
      </c>
      <c r="B4">
        <v>410.52</v>
      </c>
    </row>
    <row r="5" spans="1:5" x14ac:dyDescent="0.35">
      <c r="A5" s="13" t="s">
        <v>62</v>
      </c>
      <c r="B5">
        <v>1578.48</v>
      </c>
    </row>
    <row r="6" spans="1:5" x14ac:dyDescent="0.35">
      <c r="A6" s="13" t="s">
        <v>61</v>
      </c>
      <c r="B6" s="1">
        <v>1167.96</v>
      </c>
    </row>
    <row r="7" spans="1:5" x14ac:dyDescent="0.35">
      <c r="A7" s="13" t="s">
        <v>60</v>
      </c>
      <c r="B7" s="19" t="s">
        <v>59</v>
      </c>
    </row>
    <row r="8" spans="1:5" x14ac:dyDescent="0.35">
      <c r="A8" s="13" t="s">
        <v>58</v>
      </c>
      <c r="B8">
        <v>8</v>
      </c>
    </row>
    <row r="10" spans="1:5" x14ac:dyDescent="0.35">
      <c r="A10" s="16" t="s">
        <v>57</v>
      </c>
      <c r="B10" s="16" t="s">
        <v>15</v>
      </c>
      <c r="C10" s="16" t="s">
        <v>2</v>
      </c>
      <c r="D10" s="16" t="s">
        <v>4</v>
      </c>
      <c r="E10" s="16" t="s">
        <v>56</v>
      </c>
    </row>
    <row r="11" spans="1:5" x14ac:dyDescent="0.35">
      <c r="A11" s="17" t="s">
        <v>55</v>
      </c>
      <c r="B11" s="17" t="s">
        <v>25</v>
      </c>
      <c r="C11" s="17">
        <v>5</v>
      </c>
      <c r="D11" s="17">
        <v>3353.75</v>
      </c>
      <c r="E11" s="17" t="s">
        <v>46</v>
      </c>
    </row>
    <row r="12" spans="1:5" x14ac:dyDescent="0.35">
      <c r="A12" s="17" t="s">
        <v>54</v>
      </c>
      <c r="B12" s="17" t="s">
        <v>22</v>
      </c>
      <c r="C12" s="17">
        <v>5</v>
      </c>
      <c r="D12" s="17">
        <v>3352.4</v>
      </c>
      <c r="E12" s="17" t="s">
        <v>46</v>
      </c>
    </row>
    <row r="13" spans="1:5" x14ac:dyDescent="0.35">
      <c r="A13" s="17" t="s">
        <v>53</v>
      </c>
      <c r="B13" s="17" t="s">
        <v>26</v>
      </c>
      <c r="C13" s="17">
        <v>5</v>
      </c>
      <c r="D13" s="17">
        <v>3370.2</v>
      </c>
      <c r="E13" s="17" t="s">
        <v>46</v>
      </c>
    </row>
    <row r="14" spans="1:5" x14ac:dyDescent="0.35">
      <c r="A14" s="17" t="s">
        <v>52</v>
      </c>
      <c r="B14" s="17" t="s">
        <v>20</v>
      </c>
      <c r="C14" s="17">
        <v>5</v>
      </c>
      <c r="D14" s="17">
        <v>3384.9</v>
      </c>
      <c r="E14" s="17" t="s">
        <v>46</v>
      </c>
    </row>
    <row r="15" spans="1:5" x14ac:dyDescent="0.35">
      <c r="A15" s="17" t="s">
        <v>51</v>
      </c>
      <c r="B15" s="17" t="s">
        <v>22</v>
      </c>
      <c r="C15" s="17">
        <v>5</v>
      </c>
      <c r="D15" s="17">
        <v>3390.8</v>
      </c>
      <c r="E15" s="17" t="s">
        <v>46</v>
      </c>
    </row>
    <row r="16" spans="1:5" x14ac:dyDescent="0.35">
      <c r="A16" s="17" t="s">
        <v>50</v>
      </c>
      <c r="B16" s="17" t="s">
        <v>26</v>
      </c>
      <c r="C16" s="17">
        <v>5</v>
      </c>
      <c r="D16" s="17">
        <v>3456.4</v>
      </c>
      <c r="E16" s="17" t="s">
        <v>49</v>
      </c>
    </row>
    <row r="17" spans="1:5" x14ac:dyDescent="0.35">
      <c r="A17" s="17" t="s">
        <v>48</v>
      </c>
      <c r="B17" s="17" t="s">
        <v>25</v>
      </c>
      <c r="C17" s="17">
        <v>5</v>
      </c>
      <c r="D17" s="17">
        <v>3334</v>
      </c>
      <c r="E17" s="17" t="s">
        <v>46</v>
      </c>
    </row>
    <row r="18" spans="1:5" x14ac:dyDescent="0.35">
      <c r="A18" s="17" t="s">
        <v>47</v>
      </c>
      <c r="B18" s="17" t="s">
        <v>23</v>
      </c>
      <c r="C18" s="17">
        <v>5</v>
      </c>
      <c r="D18" s="17">
        <v>3390.95</v>
      </c>
      <c r="E18" s="17" t="s">
        <v>46</v>
      </c>
    </row>
    <row r="20" spans="1:5" x14ac:dyDescent="0.35">
      <c r="A20" s="18" t="s">
        <v>45</v>
      </c>
      <c r="B20" s="12" t="s">
        <v>44</v>
      </c>
      <c r="C20" s="12"/>
      <c r="D20" s="12"/>
      <c r="E20" s="12"/>
    </row>
  </sheetData>
  <mergeCells count="2">
    <mergeCell ref="A1:E1"/>
    <mergeCell ref="B20:E20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EDA Summary</vt:lpstr>
      <vt:lpstr>Basic Statistics</vt:lpstr>
      <vt:lpstr>Status &amp; Payment</vt:lpstr>
      <vt:lpstr>Product Analysis</vt:lpstr>
      <vt:lpstr>Monthly Trends</vt:lpstr>
      <vt:lpstr>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2026-07-02T00:10:14Z</dcterms:created>
  <dcterms:modified xsi:type="dcterms:W3CDTF">2026-07-10T19:23:36Z</dcterms:modified>
</cp:coreProperties>
</file>